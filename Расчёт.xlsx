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rofessional\Downloads\интститут\курсач детмаш\"/>
    </mc:Choice>
  </mc:AlternateContent>
  <xr:revisionPtr revIDLastSave="0" documentId="13_ncr:1_{A73725F4-E076-4A54-ABF6-ACEC85FEB3A1}" xr6:coauthVersionLast="47" xr6:coauthVersionMax="47" xr10:uidLastSave="{00000000-0000-0000-0000-000000000000}"/>
  <bookViews>
    <workbookView xWindow="-108" yWindow="-108" windowWidth="23256" windowHeight="12456" tabRatio="812" activeTab="8" xr2:uid="{7E097F76-7D13-4899-AD2E-10ADA644057F}"/>
  </bookViews>
  <sheets>
    <sheet name="Электродвигатель" sheetId="1" r:id="rId1"/>
    <sheet name="Вал" sheetId="4" r:id="rId2"/>
    <sheet name="Крышки" sheetId="12" r:id="rId3"/>
    <sheet name="Передача" sheetId="2" r:id="rId4"/>
    <sheet name="Колесо" sheetId="7" r:id="rId5"/>
    <sheet name="тихоходный вал" sheetId="14" r:id="rId6"/>
    <sheet name="вал-шестерня" sheetId="13" r:id="rId7"/>
    <sheet name="Корпус" sheetId="3" r:id="rId8"/>
    <sheet name="Ra40" sheetId="5" r:id="rId9"/>
    <sheet name="Подшипники" sheetId="10" r:id="rId10"/>
    <sheet name="Материалы" sheetId="11" r:id="rId1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7" i="13" l="1"/>
  <c r="E8" i="13"/>
  <c r="E7" i="13"/>
  <c r="E16" i="13"/>
  <c r="E38" i="14"/>
  <c r="C19" i="12"/>
  <c r="E11" i="14"/>
  <c r="E10" i="14"/>
  <c r="E9" i="14"/>
  <c r="E4" i="14"/>
  <c r="I25" i="12"/>
  <c r="F14" i="12"/>
  <c r="E22" i="12"/>
  <c r="E23" i="12"/>
  <c r="I22" i="12"/>
  <c r="I23" i="12"/>
  <c r="I21" i="12"/>
  <c r="I20" i="12"/>
  <c r="F13" i="12"/>
  <c r="E13" i="12"/>
  <c r="Z9" i="7"/>
  <c r="X9" i="7"/>
  <c r="E21" i="12"/>
  <c r="E25" i="12" s="1"/>
  <c r="E20" i="12"/>
  <c r="E14" i="12"/>
  <c r="M6" i="10"/>
  <c r="S6" i="10"/>
  <c r="F55" i="1"/>
  <c r="F56" i="1"/>
  <c r="M15" i="7"/>
  <c r="M11" i="7"/>
  <c r="D14" i="4"/>
  <c r="D61" i="2"/>
  <c r="E6" i="3" s="1"/>
  <c r="D60" i="2"/>
  <c r="S6" i="4" s="1"/>
  <c r="D59" i="2"/>
  <c r="E8" i="7" s="1"/>
  <c r="D58" i="2"/>
  <c r="E7" i="7" s="1"/>
  <c r="E11" i="7" s="1"/>
  <c r="D56" i="2"/>
  <c r="E4" i="3" s="1"/>
  <c r="D55" i="2"/>
  <c r="E3" i="3" s="1"/>
  <c r="D54" i="2"/>
  <c r="K7" i="4" s="1"/>
  <c r="D53" i="2"/>
  <c r="D51" i="2"/>
  <c r="M6" i="7" s="1"/>
  <c r="D50" i="2"/>
  <c r="M5" i="7" s="1"/>
  <c r="D49" i="2"/>
  <c r="H3" i="10" s="1"/>
  <c r="D47" i="2"/>
  <c r="E6" i="7" s="1"/>
  <c r="D46" i="2"/>
  <c r="E2" i="3" s="1"/>
  <c r="Z8" i="7"/>
  <c r="X8" i="7"/>
  <c r="E10" i="2"/>
  <c r="E3" i="7" s="1"/>
  <c r="E9" i="2"/>
  <c r="E2" i="7" s="1"/>
  <c r="E7" i="2"/>
  <c r="E6" i="2"/>
  <c r="E4" i="2"/>
  <c r="E3" i="2"/>
  <c r="E4" i="7"/>
  <c r="D4" i="4"/>
  <c r="D6" i="4"/>
  <c r="E14" i="2" s="1"/>
  <c r="I36" i="1"/>
  <c r="E2" i="2"/>
  <c r="K57" i="1"/>
  <c r="K56" i="1"/>
  <c r="K54" i="1"/>
  <c r="K53" i="1"/>
  <c r="E23" i="3" l="1"/>
  <c r="F23" i="3"/>
  <c r="E9" i="7"/>
  <c r="K6" i="4"/>
  <c r="S7" i="4"/>
  <c r="E10" i="7"/>
  <c r="E17" i="7" s="1"/>
  <c r="M12" i="7" s="1"/>
  <c r="H5" i="10"/>
  <c r="H4" i="10"/>
  <c r="M4" i="7"/>
  <c r="K8" i="4"/>
  <c r="S8" i="4"/>
  <c r="E5" i="3"/>
  <c r="E7" i="3" s="1"/>
  <c r="E8" i="3" s="1"/>
  <c r="F53" i="1"/>
  <c r="X41" i="1"/>
  <c r="T43" i="1"/>
  <c r="T42" i="1"/>
  <c r="T41" i="1"/>
  <c r="P41" i="1"/>
  <c r="L43" i="1"/>
  <c r="L44" i="1"/>
  <c r="L42" i="1"/>
  <c r="L41" i="1"/>
  <c r="I42" i="1"/>
  <c r="I43" i="1"/>
  <c r="I44" i="1"/>
  <c r="I45" i="1"/>
  <c r="I46" i="1"/>
  <c r="I41" i="1"/>
  <c r="AK4" i="1"/>
  <c r="AJ4" i="1" s="1"/>
  <c r="AK5" i="1"/>
  <c r="AJ5" i="1" s="1"/>
  <c r="AK6" i="1"/>
  <c r="AJ6" i="1" s="1"/>
  <c r="AK7" i="1"/>
  <c r="AJ7" i="1" s="1"/>
  <c r="AK8" i="1"/>
  <c r="AJ8" i="1" s="1"/>
  <c r="AK9" i="1"/>
  <c r="AJ9" i="1" s="1"/>
  <c r="AK10" i="1"/>
  <c r="AJ10" i="1" s="1"/>
  <c r="AK3" i="1"/>
  <c r="AJ3" i="1" s="1"/>
  <c r="AI10" i="1"/>
  <c r="AH10" i="1"/>
  <c r="AH9" i="1"/>
  <c r="AI9" i="1"/>
  <c r="AI8" i="1"/>
  <c r="AH8" i="1"/>
  <c r="AI7" i="1"/>
  <c r="AH7" i="1"/>
  <c r="AI6" i="1"/>
  <c r="AH6" i="1"/>
  <c r="AI5" i="1"/>
  <c r="AH5" i="1"/>
  <c r="AI4" i="1"/>
  <c r="AH4" i="1"/>
  <c r="AI3" i="1"/>
  <c r="AH3" i="1"/>
  <c r="X46" i="1"/>
  <c r="X43" i="1"/>
  <c r="X42" i="1"/>
  <c r="T46" i="1"/>
  <c r="P46" i="1"/>
  <c r="F48" i="1" s="1"/>
  <c r="V4" i="1"/>
  <c r="V5" i="1"/>
  <c r="V6" i="1"/>
  <c r="V7" i="1"/>
  <c r="V8" i="1"/>
  <c r="V9" i="1"/>
  <c r="V10" i="1"/>
  <c r="V11" i="1"/>
  <c r="M8" i="1" s="1"/>
  <c r="M9" i="1" s="1"/>
  <c r="V12" i="1"/>
  <c r="V3" i="1"/>
  <c r="M2" i="1"/>
  <c r="E13" i="3" l="1"/>
  <c r="E14" i="7"/>
  <c r="E14" i="3"/>
  <c r="E9" i="3"/>
  <c r="E15" i="3" s="1"/>
  <c r="F52" i="1"/>
  <c r="M11" i="1"/>
  <c r="R36" i="1" s="1"/>
  <c r="K52" i="1" s="1"/>
  <c r="R39" i="1" l="1"/>
  <c r="M36" i="1"/>
  <c r="W36" i="1"/>
  <c r="T36" i="1"/>
  <c r="Q36" i="1"/>
  <c r="F57" i="1" s="1"/>
  <c r="F58" i="1" s="1"/>
  <c r="S36" i="1"/>
  <c r="L36" i="1"/>
  <c r="Y36" i="1"/>
  <c r="X36" i="1"/>
  <c r="P36" i="1"/>
  <c r="V36" i="1"/>
  <c r="V39" i="1" s="1"/>
  <c r="Z36" i="1"/>
  <c r="Z39" i="1" s="1"/>
  <c r="O36" i="1"/>
  <c r="U36" i="1"/>
  <c r="N36" i="1"/>
  <c r="N39" i="1" s="1"/>
  <c r="K36" i="1"/>
  <c r="W45" i="1" l="1"/>
  <c r="W44" i="1"/>
  <c r="W41" i="1"/>
  <c r="K41" i="1"/>
  <c r="K44" i="1"/>
  <c r="K45" i="1"/>
  <c r="O41" i="1"/>
  <c r="O44" i="1"/>
  <c r="O45" i="1"/>
  <c r="S41" i="1"/>
  <c r="S44" i="1"/>
  <c r="S45" i="1"/>
  <c r="F50" i="1"/>
  <c r="O42" i="1"/>
  <c r="O43" i="1"/>
  <c r="O46" i="1"/>
  <c r="W46" i="1"/>
  <c r="W42" i="1"/>
  <c r="W43" i="1"/>
  <c r="K43" i="1"/>
  <c r="K42" i="1"/>
  <c r="K46" i="1"/>
  <c r="S42" i="1"/>
  <c r="S43" i="1"/>
  <c r="S46" i="1"/>
  <c r="F49" i="1" l="1"/>
  <c r="F51" i="1"/>
  <c r="N52" i="1"/>
  <c r="K4" i="4" s="1"/>
  <c r="E18" i="3" s="1"/>
  <c r="L55" i="1" l="1"/>
  <c r="N53" i="1" l="1"/>
  <c r="N54" i="1" l="1"/>
  <c r="N55" i="1" l="1"/>
  <c r="S4" i="4" s="1"/>
  <c r="N56" i="1" l="1"/>
  <c r="N57" i="1" l="1"/>
  <c r="N58" i="1" l="1"/>
  <c r="Y44" i="1"/>
  <c r="Z44" i="1" s="1"/>
  <c r="Q45" i="1"/>
  <c r="R45" i="1" s="1"/>
  <c r="Q44" i="1"/>
  <c r="R44" i="1" s="1"/>
  <c r="Y42" i="1"/>
  <c r="Z42" i="1" s="1"/>
  <c r="M42" i="1"/>
  <c r="N42" i="1" s="1"/>
  <c r="Q43" i="1"/>
  <c r="R43" i="1" s="1"/>
  <c r="M41" i="1"/>
  <c r="N41" i="1" s="1"/>
  <c r="Q42" i="1"/>
  <c r="R42" i="1" s="1"/>
  <c r="U44" i="1"/>
  <c r="V44" i="1" s="1"/>
  <c r="Y43" i="1"/>
  <c r="Z43" i="1" s="1"/>
  <c r="M46" i="1"/>
  <c r="N46" i="1" s="1"/>
  <c r="Q46" i="1"/>
  <c r="R46" i="1" s="1"/>
  <c r="Y46" i="1"/>
  <c r="Z46" i="1" s="1"/>
  <c r="U43" i="1"/>
  <c r="V43" i="1" s="1"/>
  <c r="U46" i="1"/>
  <c r="V46" i="1" s="1"/>
  <c r="U45" i="1"/>
  <c r="V45" i="1" s="1"/>
  <c r="M43" i="1"/>
  <c r="N43" i="1" s="1"/>
  <c r="M45" i="1"/>
  <c r="N45" i="1" s="1"/>
  <c r="M44" i="1"/>
  <c r="N44" i="1" s="1"/>
  <c r="Y45" i="1"/>
  <c r="Z45" i="1" s="1"/>
  <c r="U42" i="1"/>
  <c r="V42" i="1" s="1"/>
  <c r="Q41" i="1"/>
  <c r="R41" i="1" s="1"/>
  <c r="Y41" i="1"/>
  <c r="Z41" i="1" s="1"/>
  <c r="U41" i="1"/>
  <c r="V41" i="1" s="1"/>
  <c r="N48" i="1" l="1"/>
  <c r="K55" i="1"/>
  <c r="F54" i="1" s="1"/>
  <c r="F59" i="1" l="1"/>
  <c r="F60" i="1" s="1"/>
  <c r="E5" i="2"/>
  <c r="M9" i="7" s="1"/>
  <c r="P52" i="1" l="1"/>
  <c r="P53" i="1" l="1"/>
  <c r="D3" i="4" s="1"/>
  <c r="R52" i="1"/>
  <c r="P54" i="1" l="1"/>
  <c r="R53" i="1"/>
  <c r="K3" i="4"/>
  <c r="K11" i="4" s="1"/>
  <c r="K12" i="4" s="1"/>
  <c r="K13" i="4" s="1"/>
  <c r="R54" i="1" l="1"/>
  <c r="P55" i="1"/>
  <c r="P56" i="1" l="1"/>
  <c r="R55" i="1"/>
  <c r="S3" i="4"/>
  <c r="E29" i="14" l="1"/>
  <c r="S11" i="4"/>
  <c r="S12" i="4" s="1"/>
  <c r="E30" i="14" s="1"/>
  <c r="R56" i="1"/>
  <c r="P57" i="1"/>
  <c r="E40" i="14" l="1"/>
  <c r="E41" i="14" s="1"/>
  <c r="E18" i="13"/>
  <c r="E19" i="13" s="1"/>
  <c r="R57" i="1"/>
  <c r="P58" i="1"/>
  <c r="Z5" i="7" l="1"/>
  <c r="K19" i="4"/>
  <c r="S19" i="4"/>
  <c r="S13" i="4"/>
  <c r="S14" i="4" s="1"/>
  <c r="S15" i="4" s="1"/>
  <c r="K14" i="4"/>
  <c r="K15" i="4" s="1"/>
  <c r="K16" i="4" s="1"/>
  <c r="S16" i="4" l="1"/>
  <c r="S18" i="4" s="1"/>
  <c r="E5" i="14" s="1"/>
  <c r="E7" i="14" s="1"/>
  <c r="G23" i="12"/>
  <c r="K20" i="4"/>
  <c r="K17" i="4"/>
  <c r="K18" i="4" s="1"/>
  <c r="C18" i="12" s="1"/>
  <c r="C23" i="12"/>
  <c r="M5" i="10"/>
  <c r="S20" i="4"/>
  <c r="S21" i="4" s="1"/>
  <c r="S5" i="10"/>
  <c r="S17" i="4" l="1"/>
  <c r="G18" i="12" s="1"/>
  <c r="E19" i="7"/>
  <c r="E3" i="14" s="1"/>
  <c r="E16" i="2"/>
  <c r="C22" i="12"/>
  <c r="C21" i="12"/>
  <c r="C20" i="12"/>
  <c r="E19" i="3"/>
  <c r="E15" i="2"/>
  <c r="G22" i="12" l="1"/>
  <c r="G19" i="12"/>
  <c r="G20" i="12" s="1"/>
  <c r="G21" i="12"/>
  <c r="R7" i="2"/>
  <c r="R15" i="2"/>
  <c r="R6" i="2"/>
  <c r="R8" i="2"/>
  <c r="R10" i="2"/>
  <c r="R4" i="2"/>
  <c r="R9" i="2"/>
  <c r="R14" i="2"/>
  <c r="R12" i="2"/>
  <c r="R11" i="2"/>
  <c r="R5" i="2"/>
  <c r="R13" i="2"/>
  <c r="E15" i="7"/>
  <c r="E21" i="7" s="1"/>
  <c r="E22" i="7" s="1"/>
  <c r="Z4" i="7"/>
  <c r="X5" i="7"/>
  <c r="M23" i="7"/>
  <c r="M13" i="7"/>
  <c r="X11" i="7" l="1"/>
  <c r="X10" i="7"/>
  <c r="Z11" i="7"/>
  <c r="Z10" i="7"/>
  <c r="M14" i="7" l="1"/>
  <c r="M17" i="7" s="1"/>
  <c r="M18" i="7" l="1"/>
  <c r="M19" i="7" s="1"/>
</calcChain>
</file>

<file path=xl/sharedStrings.xml><?xml version="1.0" encoding="utf-8"?>
<sst xmlns="http://schemas.openxmlformats.org/spreadsheetml/2006/main" count="801" uniqueCount="382">
  <si>
    <t>Окружная сила</t>
  </si>
  <si>
    <t>Скорость ленты</t>
  </si>
  <si>
    <t>Максимальный КПД</t>
  </si>
  <si>
    <t>Целевой показатель</t>
  </si>
  <si>
    <t>кН</t>
  </si>
  <si>
    <t>м/с</t>
  </si>
  <si>
    <t>Расчётный ресурс</t>
  </si>
  <si>
    <t>Ветоятность безотказной работы</t>
  </si>
  <si>
    <t>Режим нагружения</t>
  </si>
  <si>
    <t>Предельная перегрузка</t>
  </si>
  <si>
    <t>Дано</t>
  </si>
  <si>
    <t>часов</t>
  </si>
  <si>
    <t>Все подвижные части накрыты кожухами</t>
  </si>
  <si>
    <t>Конструктивные требования</t>
  </si>
  <si>
    <t>Требования безопасности</t>
  </si>
  <si>
    <t>Ширина ленты</t>
  </si>
  <si>
    <t>мм</t>
  </si>
  <si>
    <t>Расположение вала</t>
  </si>
  <si>
    <t>горизонтальное</t>
  </si>
  <si>
    <t>Высота</t>
  </si>
  <si>
    <t>+-60мм</t>
  </si>
  <si>
    <t>Объём выпуска</t>
  </si>
  <si>
    <t>шт/год</t>
  </si>
  <si>
    <t>Схема</t>
  </si>
  <si>
    <t>Дигатель-&gt;Муфта-&gt;Редуктор-&gt;Муфта-&gt;Барабан</t>
  </si>
  <si>
    <t>Количество</t>
  </si>
  <si>
    <t>Опоры</t>
  </si>
  <si>
    <t>КПД</t>
  </si>
  <si>
    <t>Муфта</t>
  </si>
  <si>
    <t>Передача</t>
  </si>
  <si>
    <t>КПД от</t>
  </si>
  <si>
    <t>КПД до</t>
  </si>
  <si>
    <t>Планетарная 1</t>
  </si>
  <si>
    <t>Планетарная 2</t>
  </si>
  <si>
    <t>Волновая</t>
  </si>
  <si>
    <t>Червячная (&gt;30)</t>
  </si>
  <si>
    <t>Червячная (14-30)</t>
  </si>
  <si>
    <t>Червячная (8-14)</t>
  </si>
  <si>
    <t>Ременная</t>
  </si>
  <si>
    <t>Цепная</t>
  </si>
  <si>
    <t>ГОСТ 22647 (ленточный транспортёр)</t>
  </si>
  <si>
    <t>Передаточное отношение</t>
  </si>
  <si>
    <t>Частота барабана</t>
  </si>
  <si>
    <t>Параметры барабана</t>
  </si>
  <si>
    <t>Передаточное от/до</t>
  </si>
  <si>
    <t>Прямозубая 2</t>
  </si>
  <si>
    <t>Коническо-цилиндрический</t>
  </si>
  <si>
    <t>Червячная 1</t>
  </si>
  <si>
    <t>Коническая 1</t>
  </si>
  <si>
    <t>Коническая</t>
  </si>
  <si>
    <t>КПД без редуктора и мотора:</t>
  </si>
  <si>
    <t>Предварительное КПД редуктора</t>
  </si>
  <si>
    <t>Передачи отсортированы по возрастанию КПД</t>
  </si>
  <si>
    <t>Цифра в передаче указывает количество ступеней</t>
  </si>
  <si>
    <t>Потребляемая мощность [кВт]</t>
  </si>
  <si>
    <t>Мощность двигателя [кВт]</t>
  </si>
  <si>
    <t>Максимум:</t>
  </si>
  <si>
    <t>-</t>
  </si>
  <si>
    <t>71А2</t>
  </si>
  <si>
    <t>71B2</t>
  </si>
  <si>
    <t>80A2</t>
  </si>
  <si>
    <t>90L2</t>
  </si>
  <si>
    <t>100S2</t>
  </si>
  <si>
    <t>100L2</t>
  </si>
  <si>
    <t>112M2</t>
  </si>
  <si>
    <t>132M2</t>
  </si>
  <si>
    <t>160S2</t>
  </si>
  <si>
    <t>160M2</t>
  </si>
  <si>
    <t>180S2</t>
  </si>
  <si>
    <t>180M2</t>
  </si>
  <si>
    <t>Частота</t>
  </si>
  <si>
    <t>макс/ном</t>
  </si>
  <si>
    <t>Тип</t>
  </si>
  <si>
    <t>71А4</t>
  </si>
  <si>
    <t>71B4</t>
  </si>
  <si>
    <t>80A4</t>
  </si>
  <si>
    <t>90L4</t>
  </si>
  <si>
    <t>100S4</t>
  </si>
  <si>
    <t>100L4</t>
  </si>
  <si>
    <t>112M4</t>
  </si>
  <si>
    <t>132S4</t>
  </si>
  <si>
    <t>132M4</t>
  </si>
  <si>
    <t>160S4</t>
  </si>
  <si>
    <t>160M4</t>
  </si>
  <si>
    <t>180S4</t>
  </si>
  <si>
    <t>180M4</t>
  </si>
  <si>
    <t>80B4</t>
  </si>
  <si>
    <t>80B2</t>
  </si>
  <si>
    <t>132S6</t>
  </si>
  <si>
    <t>132M6</t>
  </si>
  <si>
    <t>160S6</t>
  </si>
  <si>
    <t>132M8</t>
  </si>
  <si>
    <t>160S8</t>
  </si>
  <si>
    <t>160M8</t>
  </si>
  <si>
    <t>Редуктор</t>
  </si>
  <si>
    <t>Подшипники</t>
  </si>
  <si>
    <t>Частота мотора</t>
  </si>
  <si>
    <t>Момент барабана</t>
  </si>
  <si>
    <t>Момент двигателя</t>
  </si>
  <si>
    <t>Н*м</t>
  </si>
  <si>
    <t>?</t>
  </si>
  <si>
    <t>Перегрузка мотора</t>
  </si>
  <si>
    <t>Перегрузка максимальная</t>
  </si>
  <si>
    <t>Угловая скорость мотора</t>
  </si>
  <si>
    <t>1/мин</t>
  </si>
  <si>
    <t>Диаметр барабана</t>
  </si>
  <si>
    <t>кВт</t>
  </si>
  <si>
    <t>КПД механический</t>
  </si>
  <si>
    <t>Тип передачи</t>
  </si>
  <si>
    <t>КПД суммарный</t>
  </si>
  <si>
    <t>КПД (при 0)</t>
  </si>
  <si>
    <t>Наклон</t>
  </si>
  <si>
    <t>Элемент</t>
  </si>
  <si>
    <t>Частота 1/мин</t>
  </si>
  <si>
    <t>Момент Н*м</t>
  </si>
  <si>
    <t>Двигатель</t>
  </si>
  <si>
    <t>Мощность [кВт]</t>
  </si>
  <si>
    <t>Частота [1/мин]</t>
  </si>
  <si>
    <t>Диаметр</t>
  </si>
  <si>
    <t>Варианты:</t>
  </si>
  <si>
    <t>Отношение</t>
  </si>
  <si>
    <t>Частота поля</t>
  </si>
  <si>
    <t>Колесо</t>
  </si>
  <si>
    <t>Вариант передачи</t>
  </si>
  <si>
    <t>Прямозубая/коническая/шевронная</t>
  </si>
  <si>
    <t>6/7/8/9</t>
  </si>
  <si>
    <t>Цилиндрическая 1</t>
  </si>
  <si>
    <t>Цилиндрическая</t>
  </si>
  <si>
    <t>Нормальный</t>
  </si>
  <si>
    <t>Диаметр вала электродвигателя</t>
  </si>
  <si>
    <t>Барабан</t>
  </si>
  <si>
    <t>Параметры передачи</t>
  </si>
  <si>
    <t>Параметры производства</t>
  </si>
  <si>
    <t>Параметры валов</t>
  </si>
  <si>
    <t>Диаметр быстроходного</t>
  </si>
  <si>
    <t>Диаметр тихоходного</t>
  </si>
  <si>
    <t>Диаметр электродвигателя</t>
  </si>
  <si>
    <t>Объём партии</t>
  </si>
  <si>
    <t>Ресурс</t>
  </si>
  <si>
    <t>Коэф. Ширины</t>
  </si>
  <si>
    <t>Межосевое расстояние</t>
  </si>
  <si>
    <t>HRC шестерни</t>
  </si>
  <si>
    <t>HRC колеса</t>
  </si>
  <si>
    <t>Масса механизма</t>
  </si>
  <si>
    <t>Прямозубый вариант</t>
  </si>
  <si>
    <t>Межосевое расстояние мм</t>
  </si>
  <si>
    <t>Диаметр впадин шестерни мм</t>
  </si>
  <si>
    <t>Вариант</t>
  </si>
  <si>
    <t>Масса колеса</t>
  </si>
  <si>
    <t>Модуль</t>
  </si>
  <si>
    <t>кг</t>
  </si>
  <si>
    <t>Радиальная сила</t>
  </si>
  <si>
    <t>Осевая сила</t>
  </si>
  <si>
    <t>Н</t>
  </si>
  <si>
    <t>Параметр</t>
  </si>
  <si>
    <t>Шестрерня</t>
  </si>
  <si>
    <t>Число зубьев</t>
  </si>
  <si>
    <t>Впадин</t>
  </si>
  <si>
    <t>Вершин</t>
  </si>
  <si>
    <t>Ширина</t>
  </si>
  <si>
    <t>Твёрдость</t>
  </si>
  <si>
    <t>Смещение</t>
  </si>
  <si>
    <t>Обработка</t>
  </si>
  <si>
    <t>ТВЧ</t>
  </si>
  <si>
    <t>Улучшение</t>
  </si>
  <si>
    <t>Подходит</t>
  </si>
  <si>
    <t>Момент</t>
  </si>
  <si>
    <t>Вал электродвигатель</t>
  </si>
  <si>
    <t>Выбран:</t>
  </si>
  <si>
    <t>Диаметр впадин</t>
  </si>
  <si>
    <t>Шестерня</t>
  </si>
  <si>
    <t>Ширина шестерни</t>
  </si>
  <si>
    <t>Ширина колеса</t>
  </si>
  <si>
    <t>t цилинд</t>
  </si>
  <si>
    <t>t конич</t>
  </si>
  <si>
    <t>Диаметр от</t>
  </si>
  <si>
    <t>Диаметр до</t>
  </si>
  <si>
    <t>K</t>
  </si>
  <si>
    <t>Диаметр вершин</t>
  </si>
  <si>
    <t>Тихоходный вал (выходной)</t>
  </si>
  <si>
    <t>Быстроходный вал (входной)</t>
  </si>
  <si>
    <t>Вал</t>
  </si>
  <si>
    <t>Диаметр 1</t>
  </si>
  <si>
    <t>Диаметр 3</t>
  </si>
  <si>
    <t>7-8</t>
  </si>
  <si>
    <t>5-6</t>
  </si>
  <si>
    <t>Диаметр 2 расчётный</t>
  </si>
  <si>
    <t>Диаметр 3 расчётный</t>
  </si>
  <si>
    <t>Макс. Отношение</t>
  </si>
  <si>
    <t>Диаметр моментный</t>
  </si>
  <si>
    <t>t</t>
  </si>
  <si>
    <t>Ra40</t>
  </si>
  <si>
    <t>Мин отношение</t>
  </si>
  <si>
    <t>Диаметр от электродвигателя</t>
  </si>
  <si>
    <t>a</t>
  </si>
  <si>
    <t>L</t>
  </si>
  <si>
    <t>Вершины шестерни</t>
  </si>
  <si>
    <t>Вершины колеса</t>
  </si>
  <si>
    <t>b0</t>
  </si>
  <si>
    <t>Толщина стенки</t>
  </si>
  <si>
    <t>Ширина уха</t>
  </si>
  <si>
    <t>Длинна</t>
  </si>
  <si>
    <t>Габариты корпуса</t>
  </si>
  <si>
    <t>Квалитет</t>
  </si>
  <si>
    <t>Двустороняя штамповка</t>
  </si>
  <si>
    <t>Способ производства</t>
  </si>
  <si>
    <t>Фаска</t>
  </si>
  <si>
    <t>Диаметр делительный</t>
  </si>
  <si>
    <t>Шестерня (меньшая)</t>
  </si>
  <si>
    <t>Дельтельный</t>
  </si>
  <si>
    <t>Колесо (большее)</t>
  </si>
  <si>
    <t>Фаска f</t>
  </si>
  <si>
    <t>R</t>
  </si>
  <si>
    <t>&gt;=6</t>
  </si>
  <si>
    <t>γ</t>
  </si>
  <si>
    <t>град</t>
  </si>
  <si>
    <t>&gt;=7</t>
  </si>
  <si>
    <t>Sст</t>
  </si>
  <si>
    <t>Силы</t>
  </si>
  <si>
    <t>S</t>
  </si>
  <si>
    <t>Установка - с натягом</t>
  </si>
  <si>
    <t>K запаса</t>
  </si>
  <si>
    <t>Давление</t>
  </si>
  <si>
    <t>Коэф трения</t>
  </si>
  <si>
    <t>(Для муфты)</t>
  </si>
  <si>
    <t>Длинна lст</t>
  </si>
  <si>
    <t>Мпа</t>
  </si>
  <si>
    <t>Предположительно</t>
  </si>
  <si>
    <t>Предположительно, сталь-сталь, запрессовкой</t>
  </si>
  <si>
    <t>Деформация</t>
  </si>
  <si>
    <t>Коэффициент Пуассона</t>
  </si>
  <si>
    <t>Диаметр вала d</t>
  </si>
  <si>
    <t>lст</t>
  </si>
  <si>
    <t>dст</t>
  </si>
  <si>
    <t>Отношение b/lст</t>
  </si>
  <si>
    <t>мкм</t>
  </si>
  <si>
    <t>Поправка на шероховатость</t>
  </si>
  <si>
    <t>Поправка на температуру</t>
  </si>
  <si>
    <t>Минимальный натяг</t>
  </si>
  <si>
    <t>Максимальный натяг</t>
  </si>
  <si>
    <t>Предел текучести [МПа]</t>
  </si>
  <si>
    <t>Модуль упругости [МПа]</t>
  </si>
  <si>
    <t>Коэф жёсткости C1,С2</t>
  </si>
  <si>
    <t>Максимальное давление [МПа]</t>
  </si>
  <si>
    <t>Диаметр внутренний [мм]</t>
  </si>
  <si>
    <t>Максимальная деформация</t>
  </si>
  <si>
    <t>Диаметр внешний [мм]</t>
  </si>
  <si>
    <t>Сила запрессовки</t>
  </si>
  <si>
    <t>Трение запрессовки</t>
  </si>
  <si>
    <t>Ремень</t>
  </si>
  <si>
    <t>Тип подшипника</t>
  </si>
  <si>
    <t>Быстроходный</t>
  </si>
  <si>
    <t>Тихоходный</t>
  </si>
  <si>
    <t>Шариковый однорядный</t>
  </si>
  <si>
    <t>Диаметр подшипниковый</t>
  </si>
  <si>
    <t>HRC</t>
  </si>
  <si>
    <t>Выбранный натяг</t>
  </si>
  <si>
    <t>Диаметр установочный</t>
  </si>
  <si>
    <t>Марка</t>
  </si>
  <si>
    <t>Ст5</t>
  </si>
  <si>
    <t>40Х</t>
  </si>
  <si>
    <t>40ХН</t>
  </si>
  <si>
    <t>20Х</t>
  </si>
  <si>
    <t>12ХН3А</t>
  </si>
  <si>
    <t>18ХГТ</t>
  </si>
  <si>
    <t>Твёрдость более</t>
  </si>
  <si>
    <t>[мм]</t>
  </si>
  <si>
    <t>[HB]</t>
  </si>
  <si>
    <t>Механические характеристики [МПа]</t>
  </si>
  <si>
    <t>σв</t>
  </si>
  <si>
    <t>σт</t>
  </si>
  <si>
    <t>τт</t>
  </si>
  <si>
    <t>σ-1</t>
  </si>
  <si>
    <t>τ-1</t>
  </si>
  <si>
    <t>ψт</t>
  </si>
  <si>
    <t>Перегрузка</t>
  </si>
  <si>
    <t>Врадин</t>
  </si>
  <si>
    <t>Материал 1</t>
  </si>
  <si>
    <t>Материал 2</t>
  </si>
  <si>
    <t>Сталь</t>
  </si>
  <si>
    <t>Чугун</t>
  </si>
  <si>
    <t>бронза</t>
  </si>
  <si>
    <t>Запрессовкой</t>
  </si>
  <si>
    <t>Нагревом</t>
  </si>
  <si>
    <t>Шероховатость Ra</t>
  </si>
  <si>
    <t>Шероховатость вала Ra</t>
  </si>
  <si>
    <t>C</t>
  </si>
  <si>
    <t>Мощность электродвигателя</t>
  </si>
  <si>
    <t>Номер</t>
  </si>
  <si>
    <t>D</t>
  </si>
  <si>
    <t>B</t>
  </si>
  <si>
    <t>Шариковый радиальный подшипник</t>
  </si>
  <si>
    <t>Схема установки</t>
  </si>
  <si>
    <t>Выбор схемы установки</t>
  </si>
  <si>
    <t>Выбор линейки электродвигателей</t>
  </si>
  <si>
    <t>Подбор схем редукторов</t>
  </si>
  <si>
    <t>Выбор линейки выходных частот</t>
  </si>
  <si>
    <t>Выбор из схем оптимальной</t>
  </si>
  <si>
    <t>Получение параметров её ступеней</t>
  </si>
  <si>
    <t>Расчёт необходимых диаметров валов</t>
  </si>
  <si>
    <t>Выбор оптимальной передачи</t>
  </si>
  <si>
    <t>Расчёт параметров передачи</t>
  </si>
  <si>
    <t>Оценка длинн валов</t>
  </si>
  <si>
    <t>Оценка расстояний внутри редуктора</t>
  </si>
  <si>
    <t>Предварительный выбор типов подшипников</t>
  </si>
  <si>
    <t>Построение предварительной схемы редуктора</t>
  </si>
  <si>
    <t>Выбор шпонок для соединения с муфтами</t>
  </si>
  <si>
    <t>Построение чертежей</t>
  </si>
  <si>
    <t>Выбор и расчёт схемы установки колеса на вал</t>
  </si>
  <si>
    <t>Поверочный расчёт статическую прочность вала</t>
  </si>
  <si>
    <t>Поверочный расчёт динамическую прочность вала</t>
  </si>
  <si>
    <t>Поверочный расчёт на статическую нагрузку подшипников</t>
  </si>
  <si>
    <t>Поверочный расчёт на динамическую нагрузку подшипников</t>
  </si>
  <si>
    <t>Выбор маслянных крышек</t>
  </si>
  <si>
    <t>Выбор фланцев валов</t>
  </si>
  <si>
    <t>Выбор способа упора подшипников</t>
  </si>
  <si>
    <t>об/мин</t>
  </si>
  <si>
    <t>рад/с</t>
  </si>
  <si>
    <t>Угловая скорость</t>
  </si>
  <si>
    <t>Скорость максимальная</t>
  </si>
  <si>
    <t>Выбор способа крепления к полу</t>
  </si>
  <si>
    <t>Выбор базирования</t>
  </si>
  <si>
    <t>Смазывание</t>
  </si>
  <si>
    <t>Контактные напряжения</t>
  </si>
  <si>
    <t>мм^2/с</t>
  </si>
  <si>
    <t>Кинематическая вязкость</t>
  </si>
  <si>
    <t>Марка масла</t>
  </si>
  <si>
    <t>И-Л-А-22</t>
  </si>
  <si>
    <t>Уровень погружения в масла</t>
  </si>
  <si>
    <t>пластины с разводными концами</t>
  </si>
  <si>
    <t>Размеры крышки:</t>
  </si>
  <si>
    <t>delta</t>
  </si>
  <si>
    <t>delta1</t>
  </si>
  <si>
    <t>l</t>
  </si>
  <si>
    <t>b</t>
  </si>
  <si>
    <t>h</t>
  </si>
  <si>
    <t>R1</t>
  </si>
  <si>
    <t>Канавка</t>
  </si>
  <si>
    <t>2…3</t>
  </si>
  <si>
    <t>Используются закладные крышки</t>
  </si>
  <si>
    <t>Диаметр внешний</t>
  </si>
  <si>
    <t>Левая внешняя</t>
  </si>
  <si>
    <t>Внутреняя полость</t>
  </si>
  <si>
    <t>Внешняя часть</t>
  </si>
  <si>
    <t>Подшипник</t>
  </si>
  <si>
    <t>Допуск</t>
  </si>
  <si>
    <t>Отверстие под вал</t>
  </si>
  <si>
    <t>Ширина впадин</t>
  </si>
  <si>
    <t>Расчёт натяга</t>
  </si>
  <si>
    <t>Материал</t>
  </si>
  <si>
    <t>Ширина подшипников</t>
  </si>
  <si>
    <t>Расстояние до корпуса a</t>
  </si>
  <si>
    <t>Ширина крышки</t>
  </si>
  <si>
    <t>Расстояение от торцев колец (а)</t>
  </si>
  <si>
    <t>Длинна суммарная</t>
  </si>
  <si>
    <t>H7/u8</t>
  </si>
  <si>
    <t>Крышка тихоходного вала</t>
  </si>
  <si>
    <t>Крышка быстроходного вала</t>
  </si>
  <si>
    <t>Порядок расчёта:</t>
  </si>
  <si>
    <t>H11/h11</t>
  </si>
  <si>
    <t>Выбор и построение геометрии колеса</t>
  </si>
  <si>
    <t>Выбор крышек</t>
  </si>
  <si>
    <t>Выбор гидроизолирующих элементов (манжетт)</t>
  </si>
  <si>
    <t>Выбор диаметров валов</t>
  </si>
  <si>
    <t>(272 HB)</t>
  </si>
  <si>
    <t>K (коэффициент режима работы)</t>
  </si>
  <si>
    <t>1,1-1,4 для транспортёров</t>
  </si>
  <si>
    <t>Посадка</t>
  </si>
  <si>
    <t>H7/k6</t>
  </si>
  <si>
    <t>Расчёт на смятие</t>
  </si>
  <si>
    <t>Ширина b</t>
  </si>
  <si>
    <t>Высота шпонки h</t>
  </si>
  <si>
    <t>Глубина паза t2 (внешний)</t>
  </si>
  <si>
    <t>Глубина паза t1 (вала)</t>
  </si>
  <si>
    <t>Предел текучести</t>
  </si>
  <si>
    <t>Предел на смятие</t>
  </si>
  <si>
    <t>Предел на смятие шпонки</t>
  </si>
  <si>
    <t>Расчёт длинны шпонки из условия несмятия</t>
  </si>
  <si>
    <t>МПа</t>
  </si>
  <si>
    <t>Рабочая длинна шпонки</t>
  </si>
  <si>
    <t>Минимальная высота шпонки</t>
  </si>
  <si>
    <t>Высота смятия шпонки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</si>
</sst>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"/>
    <numFmt numFmtId="165" formatCode="0.0"/>
  </numFmts>
  <fonts count="5" x14ac:knownFonts="1">
    <font>
      <sz val="11"/>
      <color theme="1"/>
      <name val="Calibri"/>
      <family val="2"/>
      <charset val="204"/>
      <scheme val="minor"/>
    </font>
    <font>
      <sz val="10.5"/>
      <color theme="1"/>
      <name val="Courier New"/>
      <family val="3"/>
      <charset val="204"/>
    </font>
    <font>
      <sz val="11"/>
      <color theme="1"/>
      <name val="Courier New"/>
      <family val="3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charset val="204"/>
    </font>
  </fonts>
  <fills count="10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FF00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6">
    <xf numFmtId="0" fontId="0" fillId="0" borderId="0" xfId="0"/>
    <xf numFmtId="0" fontId="0" fillId="0" borderId="0" xfId="0" applyBorder="1"/>
    <xf numFmtId="0" fontId="0" fillId="0" borderId="5" xfId="0" quotePrefix="1" applyBorder="1"/>
    <xf numFmtId="0" fontId="0" fillId="0" borderId="5" xfId="0" applyBorder="1"/>
    <xf numFmtId="0" fontId="0" fillId="0" borderId="7" xfId="0" applyBorder="1"/>
    <xf numFmtId="0" fontId="0" fillId="0" borderId="8" xfId="0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10" xfId="0" applyBorder="1"/>
    <xf numFmtId="0" fontId="0" fillId="0" borderId="11" xfId="0" applyBorder="1"/>
    <xf numFmtId="0" fontId="0" fillId="0" borderId="1" xfId="0" applyBorder="1"/>
    <xf numFmtId="0" fontId="0" fillId="0" borderId="6" xfId="0" applyBorder="1"/>
    <xf numFmtId="2" fontId="0" fillId="0" borderId="4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0" fillId="0" borderId="0" xfId="0" applyBorder="1" applyAlignment="1"/>
    <xf numFmtId="0" fontId="0" fillId="0" borderId="1" xfId="0" applyBorder="1" applyAlignment="1"/>
    <xf numFmtId="0" fontId="0" fillId="0" borderId="2" xfId="0" applyBorder="1" applyAlignment="1"/>
    <xf numFmtId="2" fontId="0" fillId="2" borderId="2" xfId="0" applyNumberFormat="1" applyFill="1" applyBorder="1"/>
    <xf numFmtId="2" fontId="0" fillId="2" borderId="0" xfId="0" applyNumberFormat="1" applyFill="1" applyBorder="1"/>
    <xf numFmtId="0" fontId="0" fillId="2" borderId="0" xfId="0" applyFill="1" applyBorder="1"/>
    <xf numFmtId="0" fontId="0" fillId="2" borderId="7" xfId="0" applyFill="1" applyBorder="1"/>
    <xf numFmtId="0" fontId="0" fillId="0" borderId="5" xfId="0" applyFill="1" applyBorder="1"/>
    <xf numFmtId="0" fontId="0" fillId="0" borderId="0" xfId="0" quotePrefix="1" applyBorder="1"/>
    <xf numFmtId="0" fontId="0" fillId="0" borderId="0" xfId="0" applyFill="1" applyBorder="1"/>
    <xf numFmtId="0" fontId="0" fillId="0" borderId="4" xfId="0" quotePrefix="1" applyBorder="1"/>
    <xf numFmtId="0" fontId="0" fillId="0" borderId="6" xfId="0" applyBorder="1" applyAlignment="1"/>
    <xf numFmtId="164" fontId="0" fillId="0" borderId="0" xfId="0" applyNumberFormat="1" applyFill="1" applyBorder="1"/>
    <xf numFmtId="0" fontId="0" fillId="0" borderId="3" xfId="0" applyFill="1" applyBorder="1"/>
    <xf numFmtId="2" fontId="0" fillId="0" borderId="0" xfId="0" applyNumberFormat="1" applyBorder="1"/>
    <xf numFmtId="2" fontId="0" fillId="0" borderId="2" xfId="0" applyNumberFormat="1" applyBorder="1"/>
    <xf numFmtId="2" fontId="0" fillId="0" borderId="7" xfId="0" applyNumberFormat="1" applyBorder="1"/>
    <xf numFmtId="0" fontId="0" fillId="0" borderId="2" xfId="0" applyBorder="1" applyAlignment="1">
      <alignment horizontal="center"/>
    </xf>
    <xf numFmtId="2" fontId="0" fillId="0" borderId="4" xfId="0" applyNumberFormat="1" applyFill="1" applyBorder="1" applyAlignment="1">
      <alignment horizontal="center" vertical="center"/>
    </xf>
    <xf numFmtId="2" fontId="0" fillId="0" borderId="0" xfId="0" applyNumberFormat="1" applyFill="1" applyBorder="1"/>
    <xf numFmtId="2" fontId="0" fillId="0" borderId="0" xfId="0" applyNumberFormat="1" applyBorder="1" applyAlignment="1">
      <alignment horizontal="center" vertical="center"/>
    </xf>
    <xf numFmtId="0" fontId="0" fillId="0" borderId="7" xfId="0" applyFill="1" applyBorder="1"/>
    <xf numFmtId="2" fontId="0" fillId="3" borderId="1" xfId="0" applyNumberFormat="1" applyFill="1" applyBorder="1" applyAlignment="1">
      <alignment horizontal="center" vertical="center"/>
    </xf>
    <xf numFmtId="0" fontId="0" fillId="3" borderId="2" xfId="0" applyFill="1" applyBorder="1"/>
    <xf numFmtId="2" fontId="0" fillId="3" borderId="2" xfId="0" applyNumberFormat="1" applyFill="1" applyBorder="1"/>
    <xf numFmtId="0" fontId="0" fillId="3" borderId="10" xfId="0" applyFill="1" applyBorder="1"/>
    <xf numFmtId="2" fontId="0" fillId="0" borderId="1" xfId="0" applyNumberFormat="1" applyBorder="1"/>
    <xf numFmtId="2" fontId="0" fillId="0" borderId="4" xfId="0" applyNumberFormat="1" applyBorder="1"/>
    <xf numFmtId="0" fontId="0" fillId="6" borderId="0" xfId="0" applyFill="1" applyBorder="1"/>
    <xf numFmtId="0" fontId="0" fillId="6" borderId="0" xfId="0" applyFill="1" applyBorder="1" applyAlignment="1"/>
    <xf numFmtId="2" fontId="0" fillId="6" borderId="0" xfId="0" applyNumberFormat="1" applyFill="1" applyBorder="1" applyAlignment="1"/>
    <xf numFmtId="0" fontId="0" fillId="5" borderId="0" xfId="0" applyFill="1" applyBorder="1" applyAlignment="1">
      <alignment horizontal="center"/>
    </xf>
    <xf numFmtId="0" fontId="0" fillId="0" borderId="0" xfId="0" applyAlignment="1"/>
    <xf numFmtId="0" fontId="0" fillId="0" borderId="0" xfId="0" applyFill="1" applyBorder="1" applyAlignment="1"/>
    <xf numFmtId="0" fontId="0" fillId="0" borderId="5" xfId="0" applyBorder="1" applyAlignment="1">
      <alignment horizontal="left"/>
    </xf>
    <xf numFmtId="0" fontId="0" fillId="0" borderId="0" xfId="0" applyFill="1" applyAlignment="1">
      <alignment horizontal="left"/>
    </xf>
    <xf numFmtId="0" fontId="0" fillId="7" borderId="0" xfId="0" applyFill="1"/>
    <xf numFmtId="2" fontId="0" fillId="0" borderId="0" xfId="0" applyNumberFormat="1" applyBorder="1" applyAlignment="1">
      <alignment horizontal="left" vertical="center"/>
    </xf>
    <xf numFmtId="0" fontId="0" fillId="0" borderId="0" xfId="0" applyBorder="1" applyAlignment="1">
      <alignment horizontal="left"/>
    </xf>
    <xf numFmtId="0" fontId="0" fillId="5" borderId="7" xfId="0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7" xfId="0" applyFill="1" applyBorder="1" applyAlignment="1"/>
    <xf numFmtId="0" fontId="0" fillId="6" borderId="4" xfId="0" applyFill="1" applyBorder="1"/>
    <xf numFmtId="0" fontId="1" fillId="0" borderId="0" xfId="0" applyFont="1" applyAlignment="1">
      <alignment vertical="center"/>
    </xf>
    <xf numFmtId="0" fontId="2" fillId="0" borderId="0" xfId="0" applyFont="1" applyBorder="1" applyAlignment="1">
      <alignment vertical="center"/>
    </xf>
    <xf numFmtId="2" fontId="0" fillId="0" borderId="0" xfId="0" applyNumberFormat="1"/>
    <xf numFmtId="1" fontId="0" fillId="0" borderId="0" xfId="0" applyNumberFormat="1"/>
    <xf numFmtId="2" fontId="0" fillId="0" borderId="0" xfId="0" applyNumberFormat="1" applyBorder="1" applyAlignment="1"/>
    <xf numFmtId="1" fontId="0" fillId="0" borderId="0" xfId="0" applyNumberFormat="1" applyBorder="1" applyAlignment="1"/>
    <xf numFmtId="49" fontId="0" fillId="0" borderId="0" xfId="0" applyNumberFormat="1"/>
    <xf numFmtId="0" fontId="0" fillId="3" borderId="0" xfId="0" applyFill="1"/>
    <xf numFmtId="2" fontId="0" fillId="0" borderId="0" xfId="0" applyNumberFormat="1" applyBorder="1" applyAlignment="1">
      <alignment vertical="center"/>
    </xf>
    <xf numFmtId="0" fontId="0" fillId="0" borderId="0" xfId="0" applyBorder="1" applyAlignment="1">
      <alignment vertical="center"/>
    </xf>
    <xf numFmtId="0" fontId="0" fillId="7" borderId="0" xfId="0" applyFill="1" applyBorder="1"/>
    <xf numFmtId="0" fontId="0" fillId="0" borderId="0" xfId="0" applyFill="1" applyBorder="1" applyAlignment="1">
      <alignment horizontal="left"/>
    </xf>
    <xf numFmtId="2" fontId="0" fillId="7" borderId="0" xfId="0" applyNumberFormat="1" applyFill="1"/>
    <xf numFmtId="0" fontId="0" fillId="3" borderId="4" xfId="0" applyFill="1" applyBorder="1"/>
    <xf numFmtId="0" fontId="0" fillId="3" borderId="0" xfId="0" applyFill="1" applyBorder="1"/>
    <xf numFmtId="0" fontId="0" fillId="3" borderId="0" xfId="0" applyFill="1" applyBorder="1" applyAlignment="1"/>
    <xf numFmtId="0" fontId="0" fillId="0" borderId="0" xfId="0" applyFont="1" applyBorder="1"/>
    <xf numFmtId="0" fontId="0" fillId="0" borderId="5" xfId="0" applyFont="1" applyBorder="1"/>
    <xf numFmtId="0" fontId="0" fillId="0" borderId="0" xfId="0" applyFont="1"/>
    <xf numFmtId="0" fontId="0" fillId="0" borderId="0" xfId="0" applyFont="1" applyBorder="1" applyAlignment="1">
      <alignment vertical="center"/>
    </xf>
    <xf numFmtId="0" fontId="0" fillId="0" borderId="5" xfId="0" applyFont="1" applyFill="1" applyBorder="1"/>
    <xf numFmtId="0" fontId="0" fillId="0" borderId="7" xfId="0" applyFont="1" applyBorder="1"/>
    <xf numFmtId="0" fontId="0" fillId="0" borderId="8" xfId="0" applyFont="1" applyBorder="1"/>
    <xf numFmtId="0" fontId="0" fillId="0" borderId="2" xfId="0" applyFont="1" applyBorder="1"/>
    <xf numFmtId="0" fontId="0" fillId="0" borderId="3" xfId="0" applyFont="1" applyFill="1" applyBorder="1"/>
    <xf numFmtId="0" fontId="0" fillId="0" borderId="3" xfId="0" applyFont="1" applyBorder="1"/>
    <xf numFmtId="0" fontId="0" fillId="8" borderId="3" xfId="0" applyFont="1" applyFill="1" applyBorder="1" applyAlignment="1"/>
    <xf numFmtId="0" fontId="2" fillId="0" borderId="0" xfId="0" applyFont="1" applyBorder="1" applyAlignment="1"/>
    <xf numFmtId="0" fontId="0" fillId="0" borderId="0" xfId="0" applyFont="1" applyBorder="1" applyAlignment="1"/>
    <xf numFmtId="0" fontId="0" fillId="0" borderId="0" xfId="0" applyFont="1" applyAlignment="1"/>
    <xf numFmtId="0" fontId="0" fillId="0" borderId="7" xfId="0" applyFont="1" applyBorder="1" applyAlignment="1"/>
    <xf numFmtId="0" fontId="0" fillId="0" borderId="0" xfId="0" applyFill="1"/>
    <xf numFmtId="0" fontId="4" fillId="0" borderId="0" xfId="0" applyFont="1"/>
    <xf numFmtId="2" fontId="0" fillId="0" borderId="0" xfId="0" applyNumberFormat="1" applyBorder="1" applyAlignment="1">
      <alignment horizontal="center" vertical="center"/>
    </xf>
    <xf numFmtId="0" fontId="0" fillId="8" borderId="2" xfId="0" applyFill="1" applyBorder="1"/>
    <xf numFmtId="0" fontId="0" fillId="9" borderId="0" xfId="0" applyFill="1"/>
    <xf numFmtId="165" fontId="0" fillId="0" borderId="0" xfId="0" applyNumberFormat="1"/>
    <xf numFmtId="1" fontId="0" fillId="0" borderId="1" xfId="0" applyNumberFormat="1" applyBorder="1"/>
    <xf numFmtId="0" fontId="0" fillId="7" borderId="2" xfId="0" applyFill="1" applyBorder="1"/>
    <xf numFmtId="0" fontId="0" fillId="6" borderId="0" xfId="0" applyFill="1"/>
    <xf numFmtId="0" fontId="0" fillId="0" borderId="4" xfId="0" applyBorder="1" applyAlignment="1">
      <alignment horizontal="center"/>
    </xf>
    <xf numFmtId="0" fontId="0" fillId="0" borderId="0" xfId="0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8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5" xfId="0" applyFill="1" applyBorder="1" applyAlignment="1">
      <alignment horizontal="center"/>
    </xf>
    <xf numFmtId="0" fontId="0" fillId="0" borderId="5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5" xfId="0" applyNumberFormat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4" borderId="9" xfId="0" applyFill="1" applyBorder="1" applyAlignment="1">
      <alignment horizontal="center"/>
    </xf>
    <xf numFmtId="0" fontId="0" fillId="4" borderId="10" xfId="0" applyFill="1" applyBorder="1" applyAlignment="1">
      <alignment horizontal="center"/>
    </xf>
    <xf numFmtId="0" fontId="0" fillId="4" borderId="11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4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8" xfId="0" applyBorder="1" applyAlignment="1">
      <alignment horizontal="center"/>
    </xf>
    <xf numFmtId="165" fontId="0" fillId="3" borderId="0" xfId="0" applyNumberFormat="1" applyFill="1" applyBorder="1" applyAlignment="1">
      <alignment horizontal="center"/>
    </xf>
    <xf numFmtId="165" fontId="0" fillId="3" borderId="5" xfId="0" applyNumberFormat="1" applyFill="1" applyBorder="1" applyAlignment="1">
      <alignment horizontal="center"/>
    </xf>
    <xf numFmtId="165" fontId="0" fillId="0" borderId="0" xfId="0" applyNumberFormat="1" applyBorder="1" applyAlignment="1">
      <alignment horizontal="center"/>
    </xf>
    <xf numFmtId="165" fontId="0" fillId="0" borderId="5" xfId="0" applyNumberFormat="1" applyBorder="1" applyAlignment="1">
      <alignment horizontal="center"/>
    </xf>
    <xf numFmtId="165" fontId="0" fillId="0" borderId="7" xfId="0" applyNumberFormat="1" applyBorder="1" applyAlignment="1">
      <alignment horizontal="center"/>
    </xf>
    <xf numFmtId="165" fontId="0" fillId="0" borderId="8" xfId="0" applyNumberFormat="1" applyBorder="1" applyAlignment="1">
      <alignment horizontal="center"/>
    </xf>
    <xf numFmtId="2" fontId="0" fillId="0" borderId="2" xfId="0" applyNumberFormat="1" applyBorder="1" applyAlignment="1">
      <alignment horizontal="center" vertical="center"/>
    </xf>
    <xf numFmtId="2" fontId="0" fillId="0" borderId="0" xfId="0" applyNumberFormat="1" applyBorder="1" applyAlignment="1">
      <alignment horizontal="center" vertical="center"/>
    </xf>
    <xf numFmtId="2" fontId="0" fillId="0" borderId="2" xfId="0" applyNumberFormat="1" applyBorder="1" applyAlignment="1">
      <alignment horizontal="center"/>
    </xf>
    <xf numFmtId="1" fontId="0" fillId="0" borderId="2" xfId="0" applyNumberFormat="1" applyBorder="1" applyAlignment="1">
      <alignment horizontal="center"/>
    </xf>
    <xf numFmtId="1" fontId="0" fillId="0" borderId="0" xfId="0" applyNumberFormat="1" applyBorder="1" applyAlignment="1">
      <alignment horizontal="center"/>
    </xf>
    <xf numFmtId="0" fontId="0" fillId="0" borderId="0" xfId="0" applyFill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" xfId="0" applyFont="1" applyBorder="1" applyAlignment="1">
      <alignment horizontal="center"/>
    </xf>
    <xf numFmtId="0" fontId="0" fillId="0" borderId="2" xfId="0" applyFont="1" applyBorder="1" applyAlignment="1">
      <alignment horizontal="center"/>
    </xf>
    <xf numFmtId="0" fontId="0" fillId="0" borderId="3" xfId="0" applyFont="1" applyBorder="1" applyAlignment="1">
      <alignment horizontal="center"/>
    </xf>
    <xf numFmtId="0" fontId="0" fillId="0" borderId="4" xfId="0" applyFont="1" applyBorder="1" applyAlignment="1">
      <alignment horizontal="center" vertical="center"/>
    </xf>
    <xf numFmtId="0" fontId="0" fillId="0" borderId="0" xfId="0" applyFont="1" applyBorder="1" applyAlignment="1">
      <alignment horizontal="center" vertical="center"/>
    </xf>
    <xf numFmtId="0" fontId="0" fillId="0" borderId="6" xfId="0" applyFont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0" fontId="0" fillId="0" borderId="4" xfId="0" applyFont="1" applyBorder="1" applyAlignment="1">
      <alignment horizontal="center"/>
    </xf>
    <xf numFmtId="0" fontId="0" fillId="0" borderId="0" xfId="0" applyFont="1" applyBorder="1" applyAlignment="1">
      <alignment horizontal="center"/>
    </xf>
    <xf numFmtId="0" fontId="0" fillId="0" borderId="6" xfId="0" applyFont="1" applyBorder="1" applyAlignment="1">
      <alignment horizontal="center"/>
    </xf>
    <xf numFmtId="0" fontId="0" fillId="0" borderId="7" xfId="0" applyFont="1" applyBorder="1" applyAlignment="1">
      <alignment horizontal="center"/>
    </xf>
    <xf numFmtId="0" fontId="0" fillId="0" borderId="5" xfId="0" applyFont="1" applyBorder="1" applyAlignment="1">
      <alignment horizontal="center"/>
    </xf>
    <xf numFmtId="0" fontId="0" fillId="0" borderId="1" xfId="0" applyFont="1" applyBorder="1" applyAlignment="1">
      <alignment horizontal="center" vertical="center"/>
    </xf>
    <xf numFmtId="0" fontId="0" fillId="0" borderId="2" xfId="0" applyFont="1" applyBorder="1" applyAlignment="1">
      <alignment horizontal="center" vertical="center"/>
    </xf>
    <xf numFmtId="0" fontId="4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0" fontId="0" fillId="7" borderId="0" xfId="0" applyFill="1" applyAlignment="1">
      <alignment horizont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8.png"/><Relationship Id="rId1" Type="http://schemas.openxmlformats.org/officeDocument/2006/relationships/image" Target="../media/image7.png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image" Target="../media/image10.png"/><Relationship Id="rId1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502920</xdr:colOff>
      <xdr:row>25</xdr:row>
      <xdr:rowOff>144780</xdr:rowOff>
    </xdr:from>
    <xdr:ext cx="3634740" cy="395749"/>
    <xdr:pic>
      <xdr:nvPicPr>
        <xdr:cNvPr id="2" name="Рисунок 1">
          <a:extLst>
            <a:ext uri="{FF2B5EF4-FFF2-40B4-BE49-F238E27FC236}">
              <a16:creationId xmlns:a16="http://schemas.microsoft.com/office/drawing/2014/main" id="{09ACAE45-6000-4DA4-90DD-F24B8090F8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743700" y="4716780"/>
          <a:ext cx="3634740" cy="395749"/>
        </a:xfrm>
        <a:prstGeom prst="rect">
          <a:avLst/>
        </a:prstGeom>
      </xdr:spPr>
    </xdr:pic>
    <xdr:clientData/>
  </xdr:oneCellAnchor>
  <xdr:oneCellAnchor>
    <xdr:from>
      <xdr:col>10</xdr:col>
      <xdr:colOff>358139</xdr:colOff>
      <xdr:row>2</xdr:row>
      <xdr:rowOff>30481</xdr:rowOff>
    </xdr:from>
    <xdr:ext cx="4114801" cy="4061460"/>
    <xdr:pic>
      <xdr:nvPicPr>
        <xdr:cNvPr id="3" name="Рисунок 2">
          <a:extLst>
            <a:ext uri="{FF2B5EF4-FFF2-40B4-BE49-F238E27FC236}">
              <a16:creationId xmlns:a16="http://schemas.microsoft.com/office/drawing/2014/main" id="{3FDC2872-6F28-4BC5-B657-74FEE33C1057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l="19623" r="7796" b="7810"/>
        <a:stretch/>
      </xdr:blipFill>
      <xdr:spPr>
        <a:xfrm>
          <a:off x="6598919" y="396241"/>
          <a:ext cx="4114801" cy="4061460"/>
        </a:xfrm>
        <a:prstGeom prst="rect">
          <a:avLst/>
        </a:prstGeom>
      </xdr:spPr>
    </xdr:pic>
    <xdr:clientData/>
  </xdr:oneCellAnchor>
  <xdr:oneCellAnchor>
    <xdr:from>
      <xdr:col>19</xdr:col>
      <xdr:colOff>83820</xdr:colOff>
      <xdr:row>14</xdr:row>
      <xdr:rowOff>160020</xdr:rowOff>
    </xdr:from>
    <xdr:ext cx="2200582" cy="1876687"/>
    <xdr:pic>
      <xdr:nvPicPr>
        <xdr:cNvPr id="4" name="Рисунок 3">
          <a:extLst>
            <a:ext uri="{FF2B5EF4-FFF2-40B4-BE49-F238E27FC236}">
              <a16:creationId xmlns:a16="http://schemas.microsoft.com/office/drawing/2014/main" id="{5603A65C-323D-418A-A33C-8A0F52F4802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1811000" y="2720340"/>
          <a:ext cx="2200582" cy="1876687"/>
        </a:xfrm>
        <a:prstGeom prst="rect">
          <a:avLst/>
        </a:prstGeom>
      </xdr:spPr>
    </xdr:pic>
    <xdr:clientData/>
  </xdr:oneCellAnchor>
  <xdr:twoCellAnchor editAs="oneCell">
    <xdr:from>
      <xdr:col>5</xdr:col>
      <xdr:colOff>342900</xdr:colOff>
      <xdr:row>27</xdr:row>
      <xdr:rowOff>45720</xdr:rowOff>
    </xdr:from>
    <xdr:to>
      <xdr:col>7</xdr:col>
      <xdr:colOff>171602</xdr:colOff>
      <xdr:row>34</xdr:row>
      <xdr:rowOff>118299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7C294A58-CA59-4092-AD0F-7B11752121E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3497580" y="4983480"/>
          <a:ext cx="1086002" cy="135273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388620</xdr:colOff>
      <xdr:row>12</xdr:row>
      <xdr:rowOff>60960</xdr:rowOff>
    </xdr:from>
    <xdr:to>
      <xdr:col>25</xdr:col>
      <xdr:colOff>60960</xdr:colOff>
      <xdr:row>33</xdr:row>
      <xdr:rowOff>116545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366D2F5C-157C-4C4B-9407-28D80DF4A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360920" y="2255520"/>
          <a:ext cx="4320540" cy="3896065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17</xdr:col>
      <xdr:colOff>358140</xdr:colOff>
      <xdr:row>3</xdr:row>
      <xdr:rowOff>152400</xdr:rowOff>
    </xdr:from>
    <xdr:to>
      <xdr:col>24</xdr:col>
      <xdr:colOff>331111</xdr:colOff>
      <xdr:row>24</xdr:row>
      <xdr:rowOff>34376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EEB52790-E0DD-4E12-81BD-5BBA1C8A81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60080" y="701040"/>
          <a:ext cx="3805831" cy="372245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15</xdr:col>
      <xdr:colOff>457200</xdr:colOff>
      <xdr:row>7</xdr:row>
      <xdr:rowOff>160020</xdr:rowOff>
    </xdr:from>
    <xdr:to>
      <xdr:col>23</xdr:col>
      <xdr:colOff>305459</xdr:colOff>
      <xdr:row>29</xdr:row>
      <xdr:rowOff>61508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4CE6805C-87DF-4664-A2B9-683F189E86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601200" y="1440180"/>
          <a:ext cx="4725059" cy="3924848"/>
        </a:xfrm>
        <a:prstGeom prst="rect">
          <a:avLst/>
        </a:prstGeom>
      </xdr:spPr>
    </xdr:pic>
    <xdr:clientData/>
  </xdr:twoCellAnchor>
  <xdr:twoCellAnchor editAs="oneCell">
    <xdr:from>
      <xdr:col>15</xdr:col>
      <xdr:colOff>182880</xdr:colOff>
      <xdr:row>0</xdr:row>
      <xdr:rowOff>167640</xdr:rowOff>
    </xdr:from>
    <xdr:to>
      <xdr:col>25</xdr:col>
      <xdr:colOff>174205</xdr:colOff>
      <xdr:row>11</xdr:row>
      <xdr:rowOff>166016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4A6D820B-60CD-4F36-8E97-02B967372C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299960" y="167640"/>
          <a:ext cx="6087325" cy="201005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16</xdr:col>
      <xdr:colOff>38100</xdr:colOff>
      <xdr:row>1</xdr:row>
      <xdr:rowOff>53340</xdr:rowOff>
    </xdr:from>
    <xdr:to>
      <xdr:col>21</xdr:col>
      <xdr:colOff>486263</xdr:colOff>
      <xdr:row>17</xdr:row>
      <xdr:rowOff>61369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84BC5CB4-C806-4EA9-BFAE-4CDC530164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054340" y="236220"/>
          <a:ext cx="3496163" cy="2934109"/>
        </a:xfrm>
        <a:prstGeom prst="rect">
          <a:avLst/>
        </a:prstGeom>
      </xdr:spPr>
    </xdr:pic>
    <xdr:clientData/>
  </xdr:twoCellAnchor>
  <xdr:twoCellAnchor editAs="oneCell">
    <xdr:from>
      <xdr:col>9</xdr:col>
      <xdr:colOff>114300</xdr:colOff>
      <xdr:row>0</xdr:row>
      <xdr:rowOff>114300</xdr:rowOff>
    </xdr:from>
    <xdr:to>
      <xdr:col>15</xdr:col>
      <xdr:colOff>234782</xdr:colOff>
      <xdr:row>12</xdr:row>
      <xdr:rowOff>53340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6A9DF619-19F9-40D4-88BE-5841ECB468BB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/>
        <a:srcRect t="7827" b="38720"/>
        <a:stretch/>
      </xdr:blipFill>
      <xdr:spPr>
        <a:xfrm>
          <a:off x="4297680" y="114300"/>
          <a:ext cx="3343742" cy="21336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58CC72-8A25-4698-8914-B1180636D74D}">
  <dimension ref="A1:AK65"/>
  <sheetViews>
    <sheetView topLeftCell="A30" zoomScale="85" zoomScaleNormal="85" workbookViewId="0">
      <selection activeCell="D38" sqref="D38"/>
    </sheetView>
  </sheetViews>
  <sheetFormatPr defaultRowHeight="14.4" x14ac:dyDescent="0.3"/>
  <cols>
    <col min="1" max="28" width="6.77734375" customWidth="1"/>
  </cols>
  <sheetData>
    <row r="1" spans="1:37" x14ac:dyDescent="0.3">
      <c r="A1" s="103" t="s">
        <v>10</v>
      </c>
      <c r="B1" s="104"/>
      <c r="C1" s="104"/>
      <c r="D1" s="104"/>
      <c r="E1" s="104"/>
      <c r="F1" s="104"/>
      <c r="G1" s="6"/>
    </row>
    <row r="2" spans="1:37" x14ac:dyDescent="0.3">
      <c r="A2" s="103" t="s">
        <v>0</v>
      </c>
      <c r="B2" s="104"/>
      <c r="C2" s="104"/>
      <c r="D2" s="104"/>
      <c r="E2" s="19">
        <v>4</v>
      </c>
      <c r="F2" s="8" t="s">
        <v>4</v>
      </c>
      <c r="G2" s="6"/>
      <c r="I2" s="103" t="s">
        <v>54</v>
      </c>
      <c r="J2" s="104"/>
      <c r="K2" s="104"/>
      <c r="L2" s="104"/>
      <c r="M2" s="104">
        <f>E2*E3</f>
        <v>6.4</v>
      </c>
      <c r="N2" s="105"/>
      <c r="Q2" s="103" t="s">
        <v>29</v>
      </c>
      <c r="R2" s="104"/>
      <c r="S2" s="104"/>
      <c r="T2" s="8" t="s">
        <v>30</v>
      </c>
      <c r="U2" s="8" t="s">
        <v>31</v>
      </c>
      <c r="V2" s="6" t="s">
        <v>27</v>
      </c>
      <c r="AC2" s="103" t="s">
        <v>29</v>
      </c>
      <c r="AD2" s="104"/>
      <c r="AE2" s="104"/>
      <c r="AF2" s="8" t="s">
        <v>44</v>
      </c>
      <c r="AG2" s="8"/>
      <c r="AH2" s="8" t="s">
        <v>30</v>
      </c>
      <c r="AI2" s="8" t="s">
        <v>31</v>
      </c>
      <c r="AJ2" s="8" t="s">
        <v>110</v>
      </c>
      <c r="AK2" s="29" t="s">
        <v>111</v>
      </c>
    </row>
    <row r="3" spans="1:37" x14ac:dyDescent="0.3">
      <c r="A3" s="99" t="s">
        <v>1</v>
      </c>
      <c r="B3" s="100"/>
      <c r="C3" s="100"/>
      <c r="D3" s="100"/>
      <c r="E3" s="20">
        <v>1.6</v>
      </c>
      <c r="F3" s="1" t="s">
        <v>5</v>
      </c>
      <c r="G3" s="3"/>
      <c r="I3" s="99" t="s">
        <v>23</v>
      </c>
      <c r="J3" s="100"/>
      <c r="K3" s="100"/>
      <c r="L3" s="100"/>
      <c r="M3" s="100"/>
      <c r="N3" s="111"/>
      <c r="Q3" s="99" t="s">
        <v>127</v>
      </c>
      <c r="R3" s="100"/>
      <c r="S3" s="100"/>
      <c r="T3" s="1">
        <v>0.96</v>
      </c>
      <c r="U3" s="1">
        <v>0.98</v>
      </c>
      <c r="V3" s="3">
        <f>AVERAGE(T3:U3)</f>
        <v>0.97</v>
      </c>
      <c r="AC3" s="99" t="s">
        <v>126</v>
      </c>
      <c r="AD3" s="100"/>
      <c r="AE3" s="100"/>
      <c r="AF3" s="1">
        <v>1.6</v>
      </c>
      <c r="AG3" s="1">
        <v>8</v>
      </c>
      <c r="AH3" s="1">
        <f t="shared" ref="AH3:AI5" si="0">T3</f>
        <v>0.96</v>
      </c>
      <c r="AI3" s="1">
        <f t="shared" si="0"/>
        <v>0.98</v>
      </c>
      <c r="AJ3" s="1">
        <f>AI3+AK3*AF3</f>
        <v>0.98499999999999999</v>
      </c>
      <c r="AK3" s="3">
        <f>(AI3-AH3)/(AG3-AF3)</f>
        <v>3.1250000000000028E-3</v>
      </c>
    </row>
    <row r="4" spans="1:37" x14ac:dyDescent="0.3">
      <c r="A4" s="99" t="s">
        <v>3</v>
      </c>
      <c r="B4" s="100"/>
      <c r="C4" s="100"/>
      <c r="D4" s="100"/>
      <c r="E4" s="108" t="s">
        <v>2</v>
      </c>
      <c r="F4" s="108"/>
      <c r="G4" s="114"/>
      <c r="I4" s="99" t="s">
        <v>24</v>
      </c>
      <c r="J4" s="100"/>
      <c r="K4" s="100"/>
      <c r="L4" s="100"/>
      <c r="M4" s="100"/>
      <c r="N4" s="111"/>
      <c r="Q4" s="99" t="s">
        <v>49</v>
      </c>
      <c r="R4" s="100"/>
      <c r="S4" s="100"/>
      <c r="T4" s="1">
        <v>0.95</v>
      </c>
      <c r="U4" s="1">
        <v>0.97</v>
      </c>
      <c r="V4" s="3">
        <f t="shared" ref="V4:V12" si="1">AVERAGE(T4:U4)</f>
        <v>0.96</v>
      </c>
      <c r="AC4" s="99" t="s">
        <v>48</v>
      </c>
      <c r="AD4" s="100"/>
      <c r="AE4" s="100"/>
      <c r="AF4" s="1">
        <v>1</v>
      </c>
      <c r="AG4" s="1">
        <v>6.3</v>
      </c>
      <c r="AH4" s="1">
        <f t="shared" si="0"/>
        <v>0.95</v>
      </c>
      <c r="AI4" s="1">
        <f t="shared" si="0"/>
        <v>0.97</v>
      </c>
      <c r="AJ4" s="1">
        <f t="shared" ref="AJ4:AJ10" si="2">AI4+AK4*AF4</f>
        <v>0.97377358490566035</v>
      </c>
      <c r="AK4" s="3">
        <f t="shared" ref="AK4:AK10" si="3">(AI4-AH4)/(AG4-AF4)</f>
        <v>3.7735849056603809E-3</v>
      </c>
    </row>
    <row r="5" spans="1:37" x14ac:dyDescent="0.3">
      <c r="A5" s="99" t="s">
        <v>6</v>
      </c>
      <c r="B5" s="100"/>
      <c r="C5" s="100"/>
      <c r="D5" s="100"/>
      <c r="E5" s="21">
        <v>10000</v>
      </c>
      <c r="F5" s="1" t="s">
        <v>11</v>
      </c>
      <c r="G5" s="3"/>
      <c r="I5" s="7"/>
      <c r="J5" s="1"/>
      <c r="K5" s="100" t="s">
        <v>25</v>
      </c>
      <c r="L5" s="100"/>
      <c r="M5" s="100" t="s">
        <v>27</v>
      </c>
      <c r="N5" s="111"/>
      <c r="Q5" s="99" t="s">
        <v>32</v>
      </c>
      <c r="R5" s="100"/>
      <c r="S5" s="100"/>
      <c r="T5" s="1">
        <v>0.95</v>
      </c>
      <c r="U5" s="1">
        <v>0.97</v>
      </c>
      <c r="V5" s="3">
        <f t="shared" si="1"/>
        <v>0.96</v>
      </c>
      <c r="AC5" s="99" t="s">
        <v>32</v>
      </c>
      <c r="AD5" s="100"/>
      <c r="AE5" s="100"/>
      <c r="AF5" s="1">
        <v>3.15</v>
      </c>
      <c r="AG5" s="1">
        <v>8</v>
      </c>
      <c r="AH5" s="1">
        <f t="shared" si="0"/>
        <v>0.95</v>
      </c>
      <c r="AI5" s="1">
        <f t="shared" si="0"/>
        <v>0.97</v>
      </c>
      <c r="AJ5" s="1">
        <f t="shared" si="2"/>
        <v>0.98298969072164943</v>
      </c>
      <c r="AK5" s="3">
        <f t="shared" si="3"/>
        <v>4.1237113402061891E-3</v>
      </c>
    </row>
    <row r="6" spans="1:37" x14ac:dyDescent="0.3">
      <c r="A6" s="99" t="s">
        <v>7</v>
      </c>
      <c r="B6" s="100"/>
      <c r="C6" s="100"/>
      <c r="D6" s="100"/>
      <c r="E6" s="21">
        <v>0.9</v>
      </c>
      <c r="F6" s="1"/>
      <c r="G6" s="3"/>
      <c r="I6" s="99" t="s">
        <v>26</v>
      </c>
      <c r="J6" s="100"/>
      <c r="K6" s="108">
        <v>2</v>
      </c>
      <c r="L6" s="108"/>
      <c r="M6" s="100">
        <v>0.99</v>
      </c>
      <c r="N6" s="111"/>
      <c r="Q6" s="99" t="s">
        <v>33</v>
      </c>
      <c r="R6" s="100"/>
      <c r="S6" s="100"/>
      <c r="T6" s="1">
        <v>0.92</v>
      </c>
      <c r="U6" s="1">
        <v>0.96</v>
      </c>
      <c r="V6" s="3">
        <f t="shared" si="1"/>
        <v>0.94</v>
      </c>
      <c r="AC6" s="99" t="s">
        <v>45</v>
      </c>
      <c r="AD6" s="100"/>
      <c r="AE6" s="100"/>
      <c r="AF6" s="1">
        <v>12.5</v>
      </c>
      <c r="AG6" s="1">
        <v>31.5</v>
      </c>
      <c r="AH6" s="1">
        <f>T3*T3</f>
        <v>0.92159999999999997</v>
      </c>
      <c r="AI6" s="1">
        <f>U3*U3</f>
        <v>0.96039999999999992</v>
      </c>
      <c r="AJ6" s="1">
        <f t="shared" si="2"/>
        <v>0.98592631578947354</v>
      </c>
      <c r="AK6" s="3">
        <f t="shared" si="3"/>
        <v>2.042105263157892E-3</v>
      </c>
    </row>
    <row r="7" spans="1:37" x14ac:dyDescent="0.3">
      <c r="A7" s="99" t="s">
        <v>8</v>
      </c>
      <c r="B7" s="100"/>
      <c r="C7" s="100"/>
      <c r="D7" s="100"/>
      <c r="E7" s="21">
        <v>3</v>
      </c>
      <c r="F7" s="1"/>
      <c r="G7" s="3"/>
      <c r="I7" s="99" t="s">
        <v>28</v>
      </c>
      <c r="J7" s="100"/>
      <c r="K7" s="108">
        <v>2</v>
      </c>
      <c r="L7" s="108"/>
      <c r="M7" s="100">
        <v>0.98</v>
      </c>
      <c r="N7" s="111"/>
      <c r="Q7" s="99" t="s">
        <v>34</v>
      </c>
      <c r="R7" s="100"/>
      <c r="S7" s="100"/>
      <c r="T7" s="1">
        <v>0.72</v>
      </c>
      <c r="U7" s="1">
        <v>0.82</v>
      </c>
      <c r="V7" s="3">
        <f t="shared" si="1"/>
        <v>0.77</v>
      </c>
      <c r="AC7" s="99" t="s">
        <v>33</v>
      </c>
      <c r="AD7" s="100"/>
      <c r="AE7" s="100"/>
      <c r="AF7" s="1">
        <v>16</v>
      </c>
      <c r="AG7" s="1">
        <v>63</v>
      </c>
      <c r="AH7" s="1">
        <f>T6</f>
        <v>0.92</v>
      </c>
      <c r="AI7" s="1">
        <f>U6</f>
        <v>0.96</v>
      </c>
      <c r="AJ7" s="1">
        <f t="shared" si="2"/>
        <v>0.97361702127659566</v>
      </c>
      <c r="AK7" s="3">
        <f t="shared" si="3"/>
        <v>8.5106382978723241E-4</v>
      </c>
    </row>
    <row r="8" spans="1:37" x14ac:dyDescent="0.3">
      <c r="A8" s="106" t="s">
        <v>9</v>
      </c>
      <c r="B8" s="107"/>
      <c r="C8" s="107"/>
      <c r="D8" s="107"/>
      <c r="E8" s="22">
        <v>2.2000000000000002</v>
      </c>
      <c r="F8" s="4"/>
      <c r="G8" s="5"/>
      <c r="I8" s="99" t="s">
        <v>249</v>
      </c>
      <c r="J8" s="100"/>
      <c r="K8" s="108">
        <v>0</v>
      </c>
      <c r="L8" s="108"/>
      <c r="M8" s="109">
        <f>V11</f>
        <v>0.95</v>
      </c>
      <c r="N8" s="110"/>
      <c r="Q8" s="99" t="s">
        <v>35</v>
      </c>
      <c r="R8" s="100"/>
      <c r="S8" s="100"/>
      <c r="T8" s="1">
        <v>0.7</v>
      </c>
      <c r="U8" s="1">
        <v>0.8</v>
      </c>
      <c r="V8" s="3">
        <f t="shared" si="1"/>
        <v>0.75</v>
      </c>
      <c r="AC8" s="99" t="s">
        <v>46</v>
      </c>
      <c r="AD8" s="100"/>
      <c r="AE8" s="100"/>
      <c r="AF8" s="1">
        <v>10</v>
      </c>
      <c r="AG8" s="1">
        <v>30</v>
      </c>
      <c r="AH8" s="1">
        <f>T4*T3</f>
        <v>0.91199999999999992</v>
      </c>
      <c r="AI8" s="1">
        <f>U4*U3</f>
        <v>0.9506</v>
      </c>
      <c r="AJ8" s="1">
        <f t="shared" si="2"/>
        <v>0.96989999999999998</v>
      </c>
      <c r="AK8" s="3">
        <f t="shared" si="3"/>
        <v>1.930000000000004E-3</v>
      </c>
    </row>
    <row r="9" spans="1:37" x14ac:dyDescent="0.3">
      <c r="A9" s="115" t="s">
        <v>14</v>
      </c>
      <c r="B9" s="116"/>
      <c r="C9" s="116"/>
      <c r="D9" s="116"/>
      <c r="E9" s="116"/>
      <c r="F9" s="116"/>
      <c r="G9" s="117"/>
      <c r="I9" s="99" t="s">
        <v>50</v>
      </c>
      <c r="J9" s="100"/>
      <c r="K9" s="100"/>
      <c r="L9" s="100"/>
      <c r="M9" s="112">
        <f>M7^K7*M6^K6*M8^K8</f>
        <v>0.94128803999999988</v>
      </c>
      <c r="N9" s="113"/>
      <c r="Q9" s="99" t="s">
        <v>36</v>
      </c>
      <c r="R9" s="100"/>
      <c r="S9" s="100"/>
      <c r="T9" s="1">
        <v>0.75</v>
      </c>
      <c r="U9" s="1">
        <v>0.85</v>
      </c>
      <c r="V9" s="3">
        <f t="shared" si="1"/>
        <v>0.8</v>
      </c>
      <c r="AC9" s="99" t="s">
        <v>47</v>
      </c>
      <c r="AD9" s="100"/>
      <c r="AE9" s="100"/>
      <c r="AF9" s="1">
        <v>8</v>
      </c>
      <c r="AG9" s="1">
        <v>63</v>
      </c>
      <c r="AH9" s="1">
        <f>T8</f>
        <v>0.7</v>
      </c>
      <c r="AI9" s="1">
        <f>U10</f>
        <v>0.9</v>
      </c>
      <c r="AJ9" s="1">
        <f t="shared" si="2"/>
        <v>0.92909090909090908</v>
      </c>
      <c r="AK9" s="3">
        <f t="shared" si="3"/>
        <v>3.6363636363636377E-3</v>
      </c>
    </row>
    <row r="10" spans="1:37" x14ac:dyDescent="0.3">
      <c r="A10" s="118" t="s">
        <v>12</v>
      </c>
      <c r="B10" s="119"/>
      <c r="C10" s="119"/>
      <c r="D10" s="119"/>
      <c r="E10" s="119"/>
      <c r="F10" s="119"/>
      <c r="G10" s="120"/>
      <c r="I10" s="99" t="s">
        <v>51</v>
      </c>
      <c r="J10" s="100"/>
      <c r="K10" s="100"/>
      <c r="L10" s="100"/>
      <c r="M10" s="108">
        <v>0.97</v>
      </c>
      <c r="N10" s="114"/>
      <c r="Q10" s="99" t="s">
        <v>37</v>
      </c>
      <c r="R10" s="100"/>
      <c r="S10" s="100"/>
      <c r="T10" s="1">
        <v>0.8</v>
      </c>
      <c r="U10" s="1">
        <v>0.9</v>
      </c>
      <c r="V10" s="3">
        <f t="shared" si="1"/>
        <v>0.85000000000000009</v>
      </c>
      <c r="AC10" s="106" t="s">
        <v>34</v>
      </c>
      <c r="AD10" s="107"/>
      <c r="AE10" s="107"/>
      <c r="AF10" s="4">
        <v>70</v>
      </c>
      <c r="AG10" s="4">
        <v>320</v>
      </c>
      <c r="AH10" s="4">
        <f>T7</f>
        <v>0.72</v>
      </c>
      <c r="AI10" s="4">
        <f>U7</f>
        <v>0.82</v>
      </c>
      <c r="AJ10" s="4">
        <f t="shared" si="2"/>
        <v>0.84799999999999998</v>
      </c>
      <c r="AK10" s="5">
        <f t="shared" si="3"/>
        <v>3.9999999999999991E-4</v>
      </c>
    </row>
    <row r="11" spans="1:37" x14ac:dyDescent="0.3">
      <c r="A11" s="115" t="s">
        <v>13</v>
      </c>
      <c r="B11" s="116"/>
      <c r="C11" s="116"/>
      <c r="D11" s="116"/>
      <c r="E11" s="116"/>
      <c r="F11" s="116"/>
      <c r="G11" s="117"/>
      <c r="I11" s="106" t="s">
        <v>55</v>
      </c>
      <c r="J11" s="107"/>
      <c r="K11" s="107"/>
      <c r="L11" s="107"/>
      <c r="M11" s="101">
        <f>M2/M10/M9</f>
        <v>7.0094783572623509</v>
      </c>
      <c r="N11" s="102"/>
      <c r="Q11" s="99" t="s">
        <v>38</v>
      </c>
      <c r="R11" s="100"/>
      <c r="S11" s="100"/>
      <c r="T11" s="1">
        <v>0.94</v>
      </c>
      <c r="U11" s="1">
        <v>0.96</v>
      </c>
      <c r="V11" s="3">
        <f t="shared" si="1"/>
        <v>0.95</v>
      </c>
      <c r="AC11" s="16"/>
      <c r="AD11" s="16"/>
      <c r="AE11" s="16"/>
      <c r="AF11" s="1"/>
      <c r="AG11" s="1"/>
      <c r="AH11" s="1"/>
    </row>
    <row r="12" spans="1:37" x14ac:dyDescent="0.3">
      <c r="A12" s="103" t="s">
        <v>17</v>
      </c>
      <c r="B12" s="104"/>
      <c r="C12" s="104"/>
      <c r="D12" s="104"/>
      <c r="E12" s="104" t="s">
        <v>18</v>
      </c>
      <c r="F12" s="104"/>
      <c r="G12" s="105"/>
      <c r="Q12" s="106" t="s">
        <v>39</v>
      </c>
      <c r="R12" s="107"/>
      <c r="S12" s="107"/>
      <c r="T12" s="4">
        <v>0.92</v>
      </c>
      <c r="U12" s="4">
        <v>0.95</v>
      </c>
      <c r="V12" s="5">
        <f t="shared" si="1"/>
        <v>0.93500000000000005</v>
      </c>
      <c r="AC12" t="s">
        <v>52</v>
      </c>
    </row>
    <row r="13" spans="1:37" x14ac:dyDescent="0.3">
      <c r="A13" s="99" t="s">
        <v>19</v>
      </c>
      <c r="B13" s="100"/>
      <c r="C13" s="100"/>
      <c r="D13" s="100"/>
      <c r="E13" s="21">
        <v>400</v>
      </c>
      <c r="F13" s="1" t="s">
        <v>16</v>
      </c>
      <c r="G13" s="2" t="s">
        <v>20</v>
      </c>
      <c r="AC13" t="s">
        <v>53</v>
      </c>
    </row>
    <row r="14" spans="1:37" x14ac:dyDescent="0.3">
      <c r="A14" s="99" t="s">
        <v>15</v>
      </c>
      <c r="B14" s="100"/>
      <c r="C14" s="100"/>
      <c r="D14" s="100"/>
      <c r="E14" s="21">
        <v>400</v>
      </c>
      <c r="F14" s="1" t="s">
        <v>16</v>
      </c>
      <c r="G14" s="3"/>
    </row>
    <row r="15" spans="1:37" x14ac:dyDescent="0.3">
      <c r="A15" s="106" t="s">
        <v>21</v>
      </c>
      <c r="B15" s="107"/>
      <c r="C15" s="107"/>
      <c r="D15" s="107"/>
      <c r="E15" s="22">
        <v>300</v>
      </c>
      <c r="F15" s="4" t="s">
        <v>22</v>
      </c>
      <c r="G15" s="5"/>
    </row>
    <row r="19" spans="9:29" x14ac:dyDescent="0.3">
      <c r="I19" s="103" t="s">
        <v>121</v>
      </c>
      <c r="J19" s="105"/>
      <c r="K19" s="103">
        <v>3000</v>
      </c>
      <c r="L19" s="104"/>
      <c r="M19" s="104"/>
      <c r="N19" s="105"/>
      <c r="O19" s="104">
        <v>1500</v>
      </c>
      <c r="P19" s="104"/>
      <c r="Q19" s="104"/>
      <c r="R19" s="104"/>
      <c r="S19" s="103">
        <v>1000</v>
      </c>
      <c r="T19" s="104"/>
      <c r="U19" s="104"/>
      <c r="V19" s="105"/>
      <c r="W19" s="104">
        <v>750</v>
      </c>
      <c r="X19" s="104"/>
      <c r="Y19" s="104"/>
      <c r="Z19" s="105"/>
      <c r="AC19" t="s">
        <v>358</v>
      </c>
    </row>
    <row r="20" spans="9:29" x14ac:dyDescent="0.3">
      <c r="I20" s="106" t="s">
        <v>116</v>
      </c>
      <c r="J20" s="125"/>
      <c r="K20" s="12" t="s">
        <v>72</v>
      </c>
      <c r="L20" s="4" t="s">
        <v>70</v>
      </c>
      <c r="M20" s="4" t="s">
        <v>71</v>
      </c>
      <c r="N20" s="5" t="s">
        <v>27</v>
      </c>
      <c r="O20" s="4" t="s">
        <v>72</v>
      </c>
      <c r="P20" s="4" t="s">
        <v>70</v>
      </c>
      <c r="Q20" s="4" t="s">
        <v>71</v>
      </c>
      <c r="R20" s="4" t="s">
        <v>27</v>
      </c>
      <c r="S20" s="12" t="s">
        <v>72</v>
      </c>
      <c r="T20" s="4" t="s">
        <v>70</v>
      </c>
      <c r="U20" s="4" t="s">
        <v>71</v>
      </c>
      <c r="V20" s="5" t="s">
        <v>27</v>
      </c>
      <c r="W20" s="4" t="s">
        <v>72</v>
      </c>
      <c r="X20" s="4" t="s">
        <v>70</v>
      </c>
      <c r="Y20" s="4" t="s">
        <v>71</v>
      </c>
      <c r="Z20" s="5" t="s">
        <v>27</v>
      </c>
      <c r="AC20" s="66" t="s">
        <v>293</v>
      </c>
    </row>
    <row r="21" spans="9:29" x14ac:dyDescent="0.3">
      <c r="I21" s="99">
        <v>0.37</v>
      </c>
      <c r="J21" s="100"/>
      <c r="K21" s="26" t="s">
        <v>57</v>
      </c>
      <c r="L21" s="24">
        <v>0</v>
      </c>
      <c r="M21" s="1">
        <v>0</v>
      </c>
      <c r="N21" s="3">
        <v>0</v>
      </c>
      <c r="O21" s="24" t="s">
        <v>57</v>
      </c>
      <c r="P21" s="24">
        <v>0</v>
      </c>
      <c r="Q21" s="1">
        <v>0</v>
      </c>
      <c r="R21" s="1">
        <v>0</v>
      </c>
      <c r="S21" s="7"/>
      <c r="T21" s="1"/>
      <c r="U21" s="1"/>
      <c r="V21" s="3"/>
      <c r="W21" s="1"/>
      <c r="X21" s="1"/>
      <c r="Y21" s="1"/>
      <c r="Z21" s="3"/>
      <c r="AC21" s="66" t="s">
        <v>294</v>
      </c>
    </row>
    <row r="22" spans="9:29" x14ac:dyDescent="0.3">
      <c r="I22" s="99">
        <v>0.55000000000000004</v>
      </c>
      <c r="J22" s="100"/>
      <c r="K22" s="26" t="s">
        <v>57</v>
      </c>
      <c r="L22" s="24">
        <v>0</v>
      </c>
      <c r="M22" s="1">
        <v>0</v>
      </c>
      <c r="N22" s="3">
        <v>0</v>
      </c>
      <c r="O22" s="1" t="s">
        <v>73</v>
      </c>
      <c r="P22" s="1">
        <v>1357</v>
      </c>
      <c r="Q22" s="1">
        <v>2.2000000000000002</v>
      </c>
      <c r="R22" s="1"/>
      <c r="S22" s="7"/>
      <c r="T22" s="1"/>
      <c r="U22" s="1"/>
      <c r="V22" s="3"/>
      <c r="W22" s="1"/>
      <c r="X22" s="1"/>
      <c r="Y22" s="1"/>
      <c r="Z22" s="3"/>
      <c r="AC22" s="66" t="s">
        <v>296</v>
      </c>
    </row>
    <row r="23" spans="9:29" x14ac:dyDescent="0.3">
      <c r="I23" s="99">
        <v>0.75</v>
      </c>
      <c r="J23" s="100"/>
      <c r="K23" s="7" t="s">
        <v>58</v>
      </c>
      <c r="L23" s="1">
        <v>2820</v>
      </c>
      <c r="M23" s="1">
        <v>2.2000000000000002</v>
      </c>
      <c r="N23" s="3">
        <v>0.75</v>
      </c>
      <c r="O23" s="1" t="s">
        <v>74</v>
      </c>
      <c r="P23" s="1">
        <v>1350</v>
      </c>
      <c r="Q23" s="1">
        <v>2.2000000000000002</v>
      </c>
      <c r="R23" s="1"/>
      <c r="S23" s="7"/>
      <c r="T23" s="1"/>
      <c r="U23" s="1"/>
      <c r="V23" s="3"/>
      <c r="W23" s="1"/>
      <c r="X23" s="1"/>
      <c r="Y23" s="1"/>
      <c r="Z23" s="3"/>
      <c r="AC23" s="66" t="s">
        <v>295</v>
      </c>
    </row>
    <row r="24" spans="9:29" x14ac:dyDescent="0.3">
      <c r="I24" s="99">
        <v>1.1000000000000001</v>
      </c>
      <c r="J24" s="100"/>
      <c r="K24" s="7" t="s">
        <v>59</v>
      </c>
      <c r="L24" s="1">
        <v>2805</v>
      </c>
      <c r="M24" s="1">
        <v>2.2000000000000002</v>
      </c>
      <c r="N24" s="23">
        <v>0.77</v>
      </c>
      <c r="O24" s="1" t="s">
        <v>75</v>
      </c>
      <c r="P24" s="1">
        <v>1395</v>
      </c>
      <c r="Q24" s="1">
        <v>2.2000000000000002</v>
      </c>
      <c r="R24" s="1"/>
      <c r="S24" s="7"/>
      <c r="T24" s="1"/>
      <c r="U24" s="1"/>
      <c r="V24" s="3"/>
      <c r="W24" s="1"/>
      <c r="X24" s="1"/>
      <c r="Y24" s="1"/>
      <c r="Z24" s="3"/>
      <c r="AC24" s="66" t="s">
        <v>297</v>
      </c>
    </row>
    <row r="25" spans="9:29" x14ac:dyDescent="0.3">
      <c r="I25" s="99">
        <v>1.5</v>
      </c>
      <c r="J25" s="100"/>
      <c r="K25" s="7" t="s">
        <v>60</v>
      </c>
      <c r="L25" s="1">
        <v>2850</v>
      </c>
      <c r="M25" s="1">
        <v>2.2000000000000002</v>
      </c>
      <c r="N25" s="23">
        <v>0.78500000000000003</v>
      </c>
      <c r="O25" s="1" t="s">
        <v>86</v>
      </c>
      <c r="P25" s="1">
        <v>1395</v>
      </c>
      <c r="Q25" s="1">
        <v>2.2000000000000002</v>
      </c>
      <c r="R25" s="1"/>
      <c r="S25" s="7"/>
      <c r="T25" s="1"/>
      <c r="U25" s="1"/>
      <c r="V25" s="3"/>
      <c r="W25" s="1"/>
      <c r="X25" s="1"/>
      <c r="Y25" s="1"/>
      <c r="Z25" s="3"/>
      <c r="AC25" s="66" t="s">
        <v>298</v>
      </c>
    </row>
    <row r="26" spans="9:29" x14ac:dyDescent="0.3">
      <c r="I26" s="99">
        <v>2.2000000000000002</v>
      </c>
      <c r="J26" s="100"/>
      <c r="K26" s="7" t="s">
        <v>87</v>
      </c>
      <c r="L26" s="1">
        <v>2850</v>
      </c>
      <c r="M26" s="1">
        <v>2.2000000000000002</v>
      </c>
      <c r="N26" s="23">
        <v>0.81</v>
      </c>
      <c r="O26" s="1" t="s">
        <v>76</v>
      </c>
      <c r="P26" s="1">
        <v>1395</v>
      </c>
      <c r="Q26" s="1">
        <v>2.2000000000000002</v>
      </c>
      <c r="R26" s="1"/>
      <c r="S26" s="7"/>
      <c r="T26" s="1"/>
      <c r="U26" s="1"/>
      <c r="V26" s="3"/>
      <c r="W26" s="1"/>
      <c r="X26" s="1"/>
      <c r="Y26" s="1"/>
      <c r="Z26" s="3"/>
      <c r="AC26" s="66" t="s">
        <v>299</v>
      </c>
    </row>
    <row r="27" spans="9:29" x14ac:dyDescent="0.3">
      <c r="I27" s="99">
        <v>3</v>
      </c>
      <c r="J27" s="100"/>
      <c r="K27" s="7" t="s">
        <v>61</v>
      </c>
      <c r="L27" s="1">
        <v>2850</v>
      </c>
      <c r="M27" s="1">
        <v>2.2000000000000002</v>
      </c>
      <c r="N27" s="3"/>
      <c r="O27" s="1" t="s">
        <v>77</v>
      </c>
      <c r="P27" s="1">
        <v>1410</v>
      </c>
      <c r="Q27" s="1">
        <v>2.2000000000000002</v>
      </c>
      <c r="R27" s="1"/>
      <c r="S27" s="7"/>
      <c r="T27" s="1"/>
      <c r="U27" s="1"/>
      <c r="V27" s="3"/>
      <c r="W27" s="1"/>
      <c r="X27" s="1"/>
      <c r="Y27" s="1"/>
      <c r="Z27" s="3"/>
      <c r="AC27" s="66" t="s">
        <v>301</v>
      </c>
    </row>
    <row r="28" spans="9:29" x14ac:dyDescent="0.3">
      <c r="I28" s="99">
        <v>4</v>
      </c>
      <c r="J28" s="100"/>
      <c r="K28" s="7" t="s">
        <v>62</v>
      </c>
      <c r="L28" s="1">
        <v>2850</v>
      </c>
      <c r="M28" s="1">
        <v>2.2000000000000002</v>
      </c>
      <c r="N28" s="3"/>
      <c r="O28" s="1" t="s">
        <v>78</v>
      </c>
      <c r="P28" s="1">
        <v>1410</v>
      </c>
      <c r="Q28" s="1">
        <v>2.2000000000000002</v>
      </c>
      <c r="R28" s="1"/>
      <c r="S28" s="7"/>
      <c r="T28" s="1"/>
      <c r="U28" s="1"/>
      <c r="V28" s="3"/>
      <c r="W28" s="1"/>
      <c r="X28" s="1"/>
      <c r="Y28" s="1"/>
      <c r="Z28" s="3"/>
      <c r="AC28" s="66" t="s">
        <v>300</v>
      </c>
    </row>
    <row r="29" spans="9:29" x14ac:dyDescent="0.3">
      <c r="I29" s="99">
        <v>5.5</v>
      </c>
      <c r="J29" s="100"/>
      <c r="K29" s="7" t="s">
        <v>63</v>
      </c>
      <c r="L29" s="1">
        <v>2850</v>
      </c>
      <c r="M29" s="1">
        <v>2.2000000000000002</v>
      </c>
      <c r="N29" s="23">
        <v>0.88</v>
      </c>
      <c r="O29" s="1" t="s">
        <v>79</v>
      </c>
      <c r="P29" s="1">
        <v>1432</v>
      </c>
      <c r="Q29" s="1">
        <v>2.2000000000000002</v>
      </c>
      <c r="R29" s="25">
        <v>0.86599999999999999</v>
      </c>
      <c r="S29" s="7" t="s">
        <v>88</v>
      </c>
      <c r="T29" s="25">
        <v>960</v>
      </c>
      <c r="U29" s="25">
        <v>2.2000000000000002</v>
      </c>
      <c r="V29" s="23">
        <v>0.85</v>
      </c>
      <c r="W29" s="1" t="s">
        <v>91</v>
      </c>
      <c r="X29" s="25">
        <v>712</v>
      </c>
      <c r="Y29" s="25">
        <v>2.2000000000000002</v>
      </c>
      <c r="Z29" s="3">
        <v>0.83</v>
      </c>
      <c r="AC29" s="66" t="s">
        <v>303</v>
      </c>
    </row>
    <row r="30" spans="9:29" x14ac:dyDescent="0.3">
      <c r="I30" s="99">
        <v>7.5</v>
      </c>
      <c r="J30" s="100"/>
      <c r="K30" s="7" t="s">
        <v>64</v>
      </c>
      <c r="L30" s="1">
        <v>2895</v>
      </c>
      <c r="M30" s="1">
        <v>2.2000000000000002</v>
      </c>
      <c r="N30" s="3">
        <v>0.87</v>
      </c>
      <c r="O30" s="1" t="s">
        <v>80</v>
      </c>
      <c r="P30" s="1">
        <v>1440</v>
      </c>
      <c r="Q30" s="1">
        <v>2.2000000000000002</v>
      </c>
      <c r="R30" s="25">
        <v>0.872</v>
      </c>
      <c r="S30" s="7" t="s">
        <v>89</v>
      </c>
      <c r="T30" s="25">
        <v>960</v>
      </c>
      <c r="U30" s="25">
        <v>2.2000000000000002</v>
      </c>
      <c r="V30" s="23">
        <v>0.86</v>
      </c>
      <c r="W30" s="1" t="s">
        <v>92</v>
      </c>
      <c r="X30" s="25">
        <v>727</v>
      </c>
      <c r="Y30" s="25">
        <v>2.4</v>
      </c>
      <c r="Z30" s="3">
        <v>0.85</v>
      </c>
      <c r="AC30" s="66" t="s">
        <v>304</v>
      </c>
    </row>
    <row r="31" spans="9:29" x14ac:dyDescent="0.3">
      <c r="I31" s="99">
        <v>11</v>
      </c>
      <c r="J31" s="100"/>
      <c r="K31" s="7" t="s">
        <v>65</v>
      </c>
      <c r="L31" s="1">
        <v>2910</v>
      </c>
      <c r="M31" s="1">
        <v>2.2000000000000002</v>
      </c>
      <c r="N31" s="3">
        <v>0.88</v>
      </c>
      <c r="O31" s="1" t="s">
        <v>81</v>
      </c>
      <c r="P31" s="1">
        <v>1447</v>
      </c>
      <c r="Q31" s="1">
        <v>2.2000000000000002</v>
      </c>
      <c r="R31" s="25">
        <v>0.87</v>
      </c>
      <c r="S31" s="7" t="s">
        <v>90</v>
      </c>
      <c r="T31" s="25">
        <v>970</v>
      </c>
      <c r="U31" s="25">
        <v>2.5</v>
      </c>
      <c r="V31" s="3">
        <v>0.86799999999999999</v>
      </c>
      <c r="W31" s="1" t="s">
        <v>93</v>
      </c>
      <c r="X31" s="25">
        <v>727</v>
      </c>
      <c r="Y31" s="25">
        <v>2.4</v>
      </c>
      <c r="Z31" s="3">
        <v>0.87</v>
      </c>
      <c r="AB31">
        <v>135</v>
      </c>
      <c r="AC31" s="98" t="s">
        <v>315</v>
      </c>
    </row>
    <row r="32" spans="9:29" x14ac:dyDescent="0.3">
      <c r="I32" s="99">
        <v>15</v>
      </c>
      <c r="J32" s="100"/>
      <c r="K32" s="7" t="s">
        <v>66</v>
      </c>
      <c r="L32" s="1">
        <v>2910</v>
      </c>
      <c r="M32" s="1">
        <v>2.7</v>
      </c>
      <c r="N32" s="3"/>
      <c r="O32" s="1" t="s">
        <v>82</v>
      </c>
      <c r="P32" s="1">
        <v>1455</v>
      </c>
      <c r="Q32" s="1">
        <v>2.9</v>
      </c>
      <c r="R32" s="1"/>
      <c r="S32" s="7"/>
      <c r="T32" s="1"/>
      <c r="U32" s="1"/>
      <c r="V32" s="3"/>
      <c r="W32" s="1"/>
      <c r="X32" s="1"/>
      <c r="Y32" s="1"/>
      <c r="Z32" s="3"/>
      <c r="AB32">
        <v>169</v>
      </c>
      <c r="AC32" s="66" t="s">
        <v>361</v>
      </c>
    </row>
    <row r="33" spans="2:29" x14ac:dyDescent="0.3">
      <c r="I33" s="99">
        <v>18.5</v>
      </c>
      <c r="J33" s="100"/>
      <c r="K33" s="7" t="s">
        <v>67</v>
      </c>
      <c r="L33" s="1">
        <v>2910</v>
      </c>
      <c r="M33" s="1">
        <v>2.7</v>
      </c>
      <c r="N33" s="3"/>
      <c r="O33" s="1" t="s">
        <v>83</v>
      </c>
      <c r="P33" s="1">
        <v>1455</v>
      </c>
      <c r="Q33" s="1">
        <v>2.9</v>
      </c>
      <c r="R33" s="1"/>
      <c r="S33" s="7"/>
      <c r="T33" s="1"/>
      <c r="U33" s="1"/>
      <c r="V33" s="3"/>
      <c r="W33" s="1"/>
      <c r="X33" s="1"/>
      <c r="Y33" s="1"/>
      <c r="Z33" s="3"/>
      <c r="AB33">
        <v>177</v>
      </c>
      <c r="AC33" s="98" t="s">
        <v>314</v>
      </c>
    </row>
    <row r="34" spans="2:29" x14ac:dyDescent="0.3">
      <c r="I34" s="99">
        <v>22</v>
      </c>
      <c r="J34" s="100"/>
      <c r="K34" s="7" t="s">
        <v>68</v>
      </c>
      <c r="L34" s="1">
        <v>2919</v>
      </c>
      <c r="M34" s="1">
        <v>2.7</v>
      </c>
      <c r="N34" s="3"/>
      <c r="O34" s="1" t="s">
        <v>84</v>
      </c>
      <c r="P34" s="1">
        <v>1462</v>
      </c>
      <c r="Q34" s="1">
        <v>2.4</v>
      </c>
      <c r="R34" s="1"/>
      <c r="S34" s="7"/>
      <c r="T34" s="1"/>
      <c r="U34" s="1"/>
      <c r="V34" s="3"/>
      <c r="W34" s="1"/>
      <c r="X34" s="1"/>
      <c r="Y34" s="1"/>
      <c r="Z34" s="3"/>
      <c r="AB34">
        <v>179</v>
      </c>
      <c r="AC34" s="66" t="s">
        <v>363</v>
      </c>
    </row>
    <row r="35" spans="2:29" x14ac:dyDescent="0.3">
      <c r="I35" s="106">
        <v>30</v>
      </c>
      <c r="J35" s="107"/>
      <c r="K35" s="12" t="s">
        <v>69</v>
      </c>
      <c r="L35" s="4">
        <v>2925</v>
      </c>
      <c r="M35" s="4">
        <v>2.7</v>
      </c>
      <c r="N35" s="5"/>
      <c r="O35" s="4" t="s">
        <v>85</v>
      </c>
      <c r="P35" s="4">
        <v>1470</v>
      </c>
      <c r="Q35" s="4">
        <v>2.7</v>
      </c>
      <c r="R35" s="4"/>
      <c r="S35" s="12"/>
      <c r="T35" s="4"/>
      <c r="U35" s="4"/>
      <c r="V35" s="5"/>
      <c r="W35" s="4"/>
      <c r="X35" s="4"/>
      <c r="Y35" s="4"/>
      <c r="Z35" s="5"/>
      <c r="AB35">
        <v>67</v>
      </c>
      <c r="AC35" s="98" t="s">
        <v>360</v>
      </c>
    </row>
    <row r="36" spans="2:29" x14ac:dyDescent="0.3">
      <c r="G36" s="124" t="s">
        <v>119</v>
      </c>
      <c r="H36" s="124"/>
      <c r="I36" s="115">
        <f>_xlfn.MINIFS(I21:J35,I21:J35,"&gt;="&amp;M11)</f>
        <v>7.5</v>
      </c>
      <c r="J36" s="116"/>
      <c r="K36" s="9" t="str">
        <f>VLOOKUP($I$36,$I$21:$R$35,3)</f>
        <v>112M2</v>
      </c>
      <c r="L36" s="9">
        <f>VLOOKUP($I$36,$I$21:$R$35,4)</f>
        <v>2895</v>
      </c>
      <c r="M36" s="9">
        <f>VLOOKUP($I$36,$I$21:$R$35,5)</f>
        <v>2.2000000000000002</v>
      </c>
      <c r="N36" s="9">
        <f>VLOOKUP($I$36,$I$21:$R$35,6)</f>
        <v>0.87</v>
      </c>
      <c r="O36" s="41" t="str">
        <f>VLOOKUP($I$36,$I$21:$R$35,7)</f>
        <v>132S4</v>
      </c>
      <c r="P36" s="41">
        <f>VLOOKUP($I$36,$I$21:$R$35,8)</f>
        <v>1440</v>
      </c>
      <c r="Q36" s="41">
        <f>VLOOKUP($I$36,$I$21:$R$35,9)</f>
        <v>2.2000000000000002</v>
      </c>
      <c r="R36" s="41">
        <f>VLOOKUP($I$36,$I$21:$R$35,10)</f>
        <v>0.872</v>
      </c>
      <c r="S36" s="9" t="str">
        <f>VLOOKUP($I$36,$I$21:$Z$35,11)</f>
        <v>132M6</v>
      </c>
      <c r="T36" s="9">
        <f>VLOOKUP($I$36,$I$21:$Z$35,12)</f>
        <v>960</v>
      </c>
      <c r="U36" s="9">
        <f>VLOOKUP($I$36,$I$21:$Z$35,13)</f>
        <v>2.2000000000000002</v>
      </c>
      <c r="V36" s="9">
        <f>VLOOKUP($I$36,$I$21:$Z$35,14)</f>
        <v>0.86</v>
      </c>
      <c r="W36" s="9" t="str">
        <f>VLOOKUP($I$36,$I$21:$Z$35,15)</f>
        <v>160S8</v>
      </c>
      <c r="X36" s="9">
        <f>VLOOKUP($I$36,$I$21:$Z$35,16)</f>
        <v>727</v>
      </c>
      <c r="Y36" s="9">
        <f>VLOOKUP($I$36,$I$21:$Z$35,17)</f>
        <v>2.4</v>
      </c>
      <c r="Z36" s="10">
        <f>VLOOKUP($I$36,$I$21:$Z$35,18)</f>
        <v>0.85</v>
      </c>
      <c r="AC36" s="98" t="s">
        <v>308</v>
      </c>
    </row>
    <row r="37" spans="2:29" x14ac:dyDescent="0.3">
      <c r="AC37" s="90" t="s">
        <v>362</v>
      </c>
    </row>
    <row r="38" spans="2:29" x14ac:dyDescent="0.3">
      <c r="C38" s="16"/>
      <c r="D38" s="16"/>
      <c r="E38" s="16"/>
      <c r="F38" s="16"/>
      <c r="G38" s="103" t="s">
        <v>40</v>
      </c>
      <c r="H38" s="104"/>
      <c r="I38" s="104"/>
      <c r="J38" s="105"/>
      <c r="K38" s="11"/>
      <c r="L38" s="18"/>
      <c r="M38" s="18"/>
      <c r="N38" s="8"/>
      <c r="O38" s="17"/>
      <c r="P38" s="18"/>
      <c r="Q38" s="18"/>
      <c r="R38" s="6"/>
      <c r="S38" s="18"/>
      <c r="T38" s="18"/>
      <c r="U38" s="18"/>
      <c r="V38" s="8"/>
      <c r="W38" s="17"/>
      <c r="X38" s="18"/>
      <c r="Y38" s="18"/>
      <c r="Z38" s="6"/>
      <c r="AC38" t="s">
        <v>306</v>
      </c>
    </row>
    <row r="39" spans="2:29" x14ac:dyDescent="0.3">
      <c r="C39" s="16"/>
      <c r="D39" s="16"/>
      <c r="E39" s="16"/>
      <c r="F39" s="16"/>
      <c r="G39" s="99" t="s">
        <v>43</v>
      </c>
      <c r="H39" s="100"/>
      <c r="I39" s="100"/>
      <c r="J39" s="111"/>
      <c r="K39" s="7"/>
      <c r="L39" s="1"/>
      <c r="M39" s="1"/>
      <c r="N39" s="3">
        <f>N36*$M$9</f>
        <v>0.8189205947999999</v>
      </c>
      <c r="O39" s="7"/>
      <c r="P39" s="1"/>
      <c r="Q39" s="1"/>
      <c r="R39" s="3">
        <f>R36*$M$9</f>
        <v>0.82080317087999988</v>
      </c>
      <c r="S39" s="1"/>
      <c r="T39" s="1"/>
      <c r="U39" s="1"/>
      <c r="V39" s="3">
        <f>V36*$M$9</f>
        <v>0.80950771439999991</v>
      </c>
      <c r="W39" s="7"/>
      <c r="X39" s="1"/>
      <c r="Y39" s="1"/>
      <c r="Z39" s="3">
        <f>Z36*$M$9</f>
        <v>0.80009483399999992</v>
      </c>
      <c r="AC39" s="90" t="s">
        <v>302</v>
      </c>
    </row>
    <row r="40" spans="2:29" x14ac:dyDescent="0.3">
      <c r="C40" s="16"/>
      <c r="D40" s="1"/>
      <c r="E40" s="1"/>
      <c r="F40" s="1"/>
      <c r="G40" s="99" t="s">
        <v>118</v>
      </c>
      <c r="H40" s="100"/>
      <c r="I40" s="100" t="s">
        <v>117</v>
      </c>
      <c r="J40" s="111"/>
      <c r="K40" s="27" t="s">
        <v>120</v>
      </c>
      <c r="L40" s="4" t="s">
        <v>72</v>
      </c>
      <c r="M40" s="4"/>
      <c r="N40" s="4" t="s">
        <v>27</v>
      </c>
      <c r="O40" s="27" t="s">
        <v>120</v>
      </c>
      <c r="P40" s="4" t="s">
        <v>72</v>
      </c>
      <c r="Q40" s="4"/>
      <c r="R40" s="5" t="s">
        <v>27</v>
      </c>
      <c r="S40" s="27" t="s">
        <v>120</v>
      </c>
      <c r="T40" s="4" t="s">
        <v>72</v>
      </c>
      <c r="U40" s="4"/>
      <c r="V40" s="4" t="s">
        <v>27</v>
      </c>
      <c r="W40" s="27" t="s">
        <v>120</v>
      </c>
      <c r="X40" s="4" t="s">
        <v>72</v>
      </c>
      <c r="Y40" s="4"/>
      <c r="Z40" s="5" t="s">
        <v>27</v>
      </c>
      <c r="AC40" s="90" t="s">
        <v>305</v>
      </c>
    </row>
    <row r="41" spans="2:29" x14ac:dyDescent="0.3">
      <c r="C41" s="1"/>
      <c r="D41" s="1"/>
      <c r="E41" s="1"/>
      <c r="F41" s="1"/>
      <c r="G41" s="121">
        <v>160</v>
      </c>
      <c r="H41" s="122"/>
      <c r="I41" s="126">
        <f t="shared" ref="I41:I46" si="4">$E$3*60000/PI()/G41</f>
        <v>190.98593171027443</v>
      </c>
      <c r="J41" s="127"/>
      <c r="K41" s="15">
        <f t="shared" ref="K41:K46" si="5">IF($I41,L$36/$I41,"-")</f>
        <v>15.15818455357075</v>
      </c>
      <c r="L41" s="8" t="str">
        <f>AC6</f>
        <v>Прямозубая 2</v>
      </c>
      <c r="M41" s="31">
        <f t="shared" ref="M41:M46" ca="1" si="6">IF(K41&lt;&gt;"-",SUMIF($AC:$AE,L41,$AJ:$AJ)-K41*SUMIF($AC:$AE,L41,$AK:$AK),0)</f>
        <v>0.95497170733270809</v>
      </c>
      <c r="N41" s="8">
        <f t="shared" ref="N41:N46" ca="1" si="7">M41*N$39</f>
        <v>0.78204599858607271</v>
      </c>
      <c r="O41" s="38">
        <f t="shared" ref="O41:O46" si="8">IF($I41,P$36/$I41,"-")</f>
        <v>7.5398223686155026</v>
      </c>
      <c r="P41" s="39" t="str">
        <f>AC3</f>
        <v>Цилиндрическая 1</v>
      </c>
      <c r="Q41" s="40">
        <f t="shared" ref="Q41:Q46" ca="1" si="9">IF(O41&lt;&gt;"-",SUMIF($AC:$AE,P41,$AJ:$AJ)-O41*SUMIF($AC:$AE,P41,$AK:$AK),0)</f>
        <v>0.96143805509807656</v>
      </c>
      <c r="R41" s="39">
        <f t="shared" ref="R41:R46" ca="1" si="10">Q41*R$39</f>
        <v>0.78915140422920127</v>
      </c>
      <c r="S41" s="15">
        <f t="shared" ref="S41:S46" si="11">IF($I41,T$36/$I41,"-")</f>
        <v>5.0265482457436681</v>
      </c>
      <c r="T41" s="8" t="str">
        <f>AC3</f>
        <v>Цилиндрическая 1</v>
      </c>
      <c r="U41" s="31">
        <f t="shared" ref="U41:U46" ca="1" si="12">IF(S41&lt;&gt;"-",SUMIF($AC:$AE,T41,$AJ:$AJ)-S41*SUMIF($AC:$AE,T41,$AK:$AK),0)</f>
        <v>0.969292036732051</v>
      </c>
      <c r="V41" s="8">
        <f t="shared" ref="V41:V46" ca="1" si="13">U41*V$39</f>
        <v>0.78464938124108341</v>
      </c>
      <c r="W41" s="15">
        <f t="shared" ref="W41:W46" si="14">IF($I41,X$36/$I41,"-")</f>
        <v>3.8065630985996322</v>
      </c>
      <c r="X41" s="8" t="str">
        <f>AC3</f>
        <v>Цилиндрическая 1</v>
      </c>
      <c r="Y41" s="31">
        <f t="shared" ref="Y41:Y46" ca="1" si="15">IF(W41&lt;&gt;"-",SUMIF($AC:$AE,X41,$AJ:$AJ)-W41*SUMIF($AC:$AE,X41,$AK:$AK),0)</f>
        <v>0.97310449031687618</v>
      </c>
      <c r="Z41" s="6">
        <f t="shared" ref="Z41:Z46" ca="1" si="16">Y41*Z$39</f>
        <v>0.77857587564473563</v>
      </c>
    </row>
    <row r="42" spans="2:29" x14ac:dyDescent="0.3">
      <c r="C42" s="1"/>
      <c r="D42" s="1"/>
      <c r="E42" s="1"/>
      <c r="F42" s="1"/>
      <c r="G42" s="123">
        <v>200</v>
      </c>
      <c r="H42" s="109"/>
      <c r="I42" s="128">
        <f t="shared" si="4"/>
        <v>152.78874536821954</v>
      </c>
      <c r="J42" s="129"/>
      <c r="K42" s="13">
        <f t="shared" si="5"/>
        <v>18.947730691963439</v>
      </c>
      <c r="L42" s="1" t="str">
        <f>AC6</f>
        <v>Прямозубая 2</v>
      </c>
      <c r="M42" s="30">
        <f t="shared" ca="1" si="6"/>
        <v>0.94723305521851664</v>
      </c>
      <c r="N42" s="1">
        <f t="shared" ca="1" si="7"/>
        <v>0.77570865699376879</v>
      </c>
      <c r="O42" s="34">
        <f t="shared" si="8"/>
        <v>9.4247779607693793</v>
      </c>
      <c r="P42" s="25"/>
      <c r="Q42" s="35">
        <f t="shared" ca="1" si="9"/>
        <v>0</v>
      </c>
      <c r="R42" s="25">
        <f t="shared" ca="1" si="10"/>
        <v>0</v>
      </c>
      <c r="S42" s="13">
        <f t="shared" si="11"/>
        <v>6.2831853071795862</v>
      </c>
      <c r="T42" s="1" t="str">
        <f>AC3</f>
        <v>Цилиндрическая 1</v>
      </c>
      <c r="U42" s="30">
        <f t="shared" ca="1" si="12"/>
        <v>0.96536504591506378</v>
      </c>
      <c r="V42" s="1">
        <f t="shared" ca="1" si="13"/>
        <v>0.78147045188035424</v>
      </c>
      <c r="W42" s="13">
        <f t="shared" si="14"/>
        <v>4.7582038732495402</v>
      </c>
      <c r="X42" s="1" t="str">
        <f>AC3</f>
        <v>Цилиндрическая 1</v>
      </c>
      <c r="Y42" s="30">
        <f t="shared" ca="1" si="15"/>
        <v>0.97013061289609515</v>
      </c>
      <c r="Z42" s="3">
        <f t="shared" ca="1" si="16"/>
        <v>0.77619649168341942</v>
      </c>
      <c r="AB42">
        <v>183</v>
      </c>
      <c r="AC42" t="s">
        <v>309</v>
      </c>
    </row>
    <row r="43" spans="2:29" x14ac:dyDescent="0.3">
      <c r="C43" s="1"/>
      <c r="D43" s="1"/>
      <c r="E43" s="1"/>
      <c r="F43" s="1"/>
      <c r="G43" s="99">
        <v>250</v>
      </c>
      <c r="H43" s="100"/>
      <c r="I43" s="128">
        <f t="shared" si="4"/>
        <v>122.23099629457563</v>
      </c>
      <c r="J43" s="129"/>
      <c r="K43" s="13">
        <f t="shared" si="5"/>
        <v>23.684663364954297</v>
      </c>
      <c r="L43" s="1" t="str">
        <f>AC6</f>
        <v>Прямозубая 2</v>
      </c>
      <c r="M43" s="30">
        <f t="shared" ca="1" si="6"/>
        <v>0.93755974007577747</v>
      </c>
      <c r="N43" s="1">
        <f t="shared" ca="1" si="7"/>
        <v>0.76778698000338896</v>
      </c>
      <c r="O43" s="13">
        <f t="shared" si="8"/>
        <v>11.780972450961723</v>
      </c>
      <c r="P43" s="1"/>
      <c r="Q43" s="30">
        <f t="shared" ca="1" si="9"/>
        <v>0</v>
      </c>
      <c r="R43" s="1">
        <f t="shared" ca="1" si="10"/>
        <v>0</v>
      </c>
      <c r="S43" s="13">
        <f t="shared" si="11"/>
        <v>7.8539816339744819</v>
      </c>
      <c r="T43" s="1" t="str">
        <f>AC3</f>
        <v>Цилиндрическая 1</v>
      </c>
      <c r="U43" s="30">
        <f t="shared" ca="1" si="12"/>
        <v>0.9604563073938297</v>
      </c>
      <c r="V43" s="1">
        <f t="shared" ca="1" si="13"/>
        <v>0.77749679017944284</v>
      </c>
      <c r="W43" s="13">
        <f t="shared" si="14"/>
        <v>5.9477548415619257</v>
      </c>
      <c r="X43" s="1" t="str">
        <f>AC3</f>
        <v>Цилиндрическая 1</v>
      </c>
      <c r="Y43" s="30">
        <f t="shared" ca="1" si="15"/>
        <v>0.96641326612011891</v>
      </c>
      <c r="Z43" s="3">
        <f t="shared" ca="1" si="16"/>
        <v>0.77322226173177433</v>
      </c>
      <c r="AC43" t="s">
        <v>310</v>
      </c>
    </row>
    <row r="44" spans="2:29" x14ac:dyDescent="0.3">
      <c r="C44" s="1"/>
      <c r="D44" s="1"/>
      <c r="E44" s="1"/>
      <c r="F44" s="1"/>
      <c r="G44" s="99">
        <v>315</v>
      </c>
      <c r="H44" s="100"/>
      <c r="I44" s="128">
        <f t="shared" si="4"/>
        <v>97.008727217917169</v>
      </c>
      <c r="J44" s="129"/>
      <c r="K44" s="13">
        <f t="shared" si="5"/>
        <v>29.842675839842414</v>
      </c>
      <c r="L44" s="1" t="str">
        <f>AC6</f>
        <v>Прямозубая 2</v>
      </c>
      <c r="M44" s="30">
        <f t="shared" ca="1" si="6"/>
        <v>0.92498443039021649</v>
      </c>
      <c r="N44" s="1">
        <f t="shared" ca="1" si="7"/>
        <v>0.75748879991589524</v>
      </c>
      <c r="O44" s="13">
        <f t="shared" si="8"/>
        <v>14.844025288211771</v>
      </c>
      <c r="P44" s="1"/>
      <c r="Q44" s="30">
        <f t="shared" ca="1" si="9"/>
        <v>0</v>
      </c>
      <c r="R44" s="1">
        <f t="shared" ca="1" si="10"/>
        <v>0</v>
      </c>
      <c r="S44" s="13">
        <f t="shared" si="11"/>
        <v>9.8960168588078474</v>
      </c>
      <c r="T44" s="1"/>
      <c r="U44" s="30">
        <f t="shared" ca="1" si="12"/>
        <v>0</v>
      </c>
      <c r="V44" s="1">
        <f t="shared" ca="1" si="13"/>
        <v>0</v>
      </c>
      <c r="W44" s="13">
        <f t="shared" si="14"/>
        <v>7.4941711003680265</v>
      </c>
      <c r="X44" s="1"/>
      <c r="Y44" s="30">
        <f t="shared" ca="1" si="15"/>
        <v>0</v>
      </c>
      <c r="Z44" s="3">
        <f t="shared" ca="1" si="16"/>
        <v>0</v>
      </c>
      <c r="AC44" s="1" t="s">
        <v>311</v>
      </c>
    </row>
    <row r="45" spans="2:29" x14ac:dyDescent="0.3">
      <c r="C45" s="1"/>
      <c r="D45" s="1"/>
      <c r="E45" s="1"/>
      <c r="F45" s="1"/>
      <c r="G45" s="99">
        <v>400</v>
      </c>
      <c r="H45" s="100"/>
      <c r="I45" s="128">
        <f t="shared" si="4"/>
        <v>76.394372684109769</v>
      </c>
      <c r="J45" s="129"/>
      <c r="K45" s="13">
        <f t="shared" si="5"/>
        <v>37.895461383926879</v>
      </c>
      <c r="L45" s="1"/>
      <c r="M45" s="30">
        <f t="shared" ca="1" si="6"/>
        <v>0</v>
      </c>
      <c r="N45" s="1">
        <f t="shared" ca="1" si="7"/>
        <v>0</v>
      </c>
      <c r="O45" s="13">
        <f t="shared" si="8"/>
        <v>18.849555921538759</v>
      </c>
      <c r="P45" s="1"/>
      <c r="Q45" s="30">
        <f t="shared" ca="1" si="9"/>
        <v>0</v>
      </c>
      <c r="R45" s="1">
        <f t="shared" ca="1" si="10"/>
        <v>0</v>
      </c>
      <c r="S45" s="13">
        <f t="shared" si="11"/>
        <v>12.566370614359172</v>
      </c>
      <c r="T45" s="1"/>
      <c r="U45" s="30">
        <f t="shared" ca="1" si="12"/>
        <v>0</v>
      </c>
      <c r="V45" s="1">
        <f t="shared" ca="1" si="13"/>
        <v>0</v>
      </c>
      <c r="W45" s="13">
        <f t="shared" si="14"/>
        <v>9.5164077464990804</v>
      </c>
      <c r="X45" s="1"/>
      <c r="Y45" s="30">
        <f t="shared" ca="1" si="15"/>
        <v>0</v>
      </c>
      <c r="Z45" s="3">
        <f t="shared" ca="1" si="16"/>
        <v>0</v>
      </c>
      <c r="AC45" s="1" t="s">
        <v>312</v>
      </c>
    </row>
    <row r="46" spans="2:29" x14ac:dyDescent="0.3">
      <c r="C46" s="1"/>
      <c r="D46" s="1"/>
      <c r="E46" s="1"/>
      <c r="F46" s="1"/>
      <c r="G46" s="106">
        <v>500</v>
      </c>
      <c r="H46" s="107"/>
      <c r="I46" s="130">
        <f t="shared" si="4"/>
        <v>61.115498147287816</v>
      </c>
      <c r="J46" s="131"/>
      <c r="K46" s="14">
        <f t="shared" si="5"/>
        <v>47.369326729908593</v>
      </c>
      <c r="L46" s="4" t="s">
        <v>100</v>
      </c>
      <c r="M46" s="32">
        <f t="shared" ca="1" si="6"/>
        <v>0</v>
      </c>
      <c r="N46" s="4">
        <f t="shared" ca="1" si="7"/>
        <v>0</v>
      </c>
      <c r="O46" s="14">
        <f t="shared" si="8"/>
        <v>23.561944901923447</v>
      </c>
      <c r="P46" s="37" t="str">
        <f>AC3</f>
        <v>Цилиндрическая 1</v>
      </c>
      <c r="Q46" s="32">
        <f t="shared" ca="1" si="9"/>
        <v>0.91136892218148913</v>
      </c>
      <c r="R46" s="4">
        <f t="shared" ca="1" si="10"/>
        <v>0.74805450116805416</v>
      </c>
      <c r="S46" s="14">
        <f t="shared" si="11"/>
        <v>15.707963267948964</v>
      </c>
      <c r="T46" s="4" t="str">
        <f>AC3</f>
        <v>Цилиндрическая 1</v>
      </c>
      <c r="U46" s="32">
        <f t="shared" ca="1" si="12"/>
        <v>0.93591261478765941</v>
      </c>
      <c r="V46" s="4">
        <f t="shared" ca="1" si="13"/>
        <v>0.75762848167488572</v>
      </c>
      <c r="W46" s="14">
        <f t="shared" si="14"/>
        <v>11.895509683123851</v>
      </c>
      <c r="X46" s="4" t="str">
        <f>AC3</f>
        <v>Цилиндрическая 1</v>
      </c>
      <c r="Y46" s="32">
        <f t="shared" ca="1" si="15"/>
        <v>0.94782653224023794</v>
      </c>
      <c r="Z46" s="5">
        <f t="shared" ca="1" si="16"/>
        <v>0.75835111197354876</v>
      </c>
    </row>
    <row r="47" spans="2:29" x14ac:dyDescent="0.3">
      <c r="B47" s="1"/>
      <c r="C47" s="1"/>
      <c r="D47" s="1"/>
      <c r="E47" s="1"/>
      <c r="F47" s="16"/>
      <c r="G47" s="16"/>
      <c r="H47" s="16"/>
      <c r="I47" s="16"/>
      <c r="J47" s="16"/>
      <c r="K47" s="36"/>
      <c r="L47" s="1"/>
      <c r="M47" s="30"/>
      <c r="N47" s="1"/>
      <c r="O47" s="36"/>
      <c r="P47" s="1"/>
      <c r="Q47" s="30"/>
      <c r="R47" s="1"/>
      <c r="S47" s="36"/>
      <c r="T47" s="1"/>
      <c r="U47" s="30"/>
      <c r="V47" s="1"/>
      <c r="W47" s="36"/>
      <c r="X47" s="1"/>
      <c r="Y47" s="30"/>
      <c r="Z47" s="1"/>
      <c r="AC47" s="25" t="s">
        <v>320</v>
      </c>
    </row>
    <row r="48" spans="2:29" x14ac:dyDescent="0.3">
      <c r="B48" s="103" t="s">
        <v>108</v>
      </c>
      <c r="C48" s="104"/>
      <c r="D48" s="104"/>
      <c r="E48" s="104"/>
      <c r="F48" s="104" t="str">
        <f>P46</f>
        <v>Цилиндрическая 1</v>
      </c>
      <c r="G48" s="105"/>
      <c r="H48" s="16"/>
      <c r="I48" s="16"/>
      <c r="J48" s="16"/>
      <c r="K48" s="36"/>
      <c r="L48" s="100" t="s">
        <v>56</v>
      </c>
      <c r="M48" s="100"/>
      <c r="N48" s="28">
        <f ca="1">MAX(Z41:Z46,V41:V46,R41:R46,N41:N46)</f>
        <v>0.78915140422920127</v>
      </c>
      <c r="O48" s="36"/>
      <c r="P48" s="1"/>
      <c r="Q48" s="30"/>
      <c r="S48" s="36"/>
      <c r="T48" s="1"/>
      <c r="U48" s="30"/>
      <c r="V48" s="1"/>
      <c r="W48" s="36"/>
      <c r="X48" s="1"/>
      <c r="Y48" s="30"/>
      <c r="Z48" s="1"/>
      <c r="AC48" s="25" t="s">
        <v>313</v>
      </c>
    </row>
    <row r="49" spans="2:29" x14ac:dyDescent="0.3">
      <c r="B49" s="99" t="s">
        <v>41</v>
      </c>
      <c r="C49" s="100"/>
      <c r="D49" s="100"/>
      <c r="E49" s="100"/>
      <c r="F49" s="46">
        <f>O41</f>
        <v>7.5398223686155026</v>
      </c>
      <c r="G49" s="50"/>
      <c r="I49" s="16"/>
      <c r="J49" s="16"/>
      <c r="K49" s="36"/>
      <c r="L49" s="1"/>
      <c r="M49" s="30"/>
      <c r="N49" s="1"/>
      <c r="O49" s="36"/>
      <c r="P49" s="1"/>
      <c r="Q49" s="30"/>
      <c r="R49" s="1"/>
      <c r="S49" s="36"/>
      <c r="T49" s="1"/>
      <c r="V49" s="1"/>
      <c r="W49" s="36"/>
      <c r="X49" s="1"/>
      <c r="Y49" s="30"/>
      <c r="Z49" s="1"/>
    </row>
    <row r="50" spans="2:29" x14ac:dyDescent="0.3">
      <c r="B50" s="99" t="s">
        <v>96</v>
      </c>
      <c r="C50" s="100"/>
      <c r="D50" s="100"/>
      <c r="E50" s="100"/>
      <c r="F50" s="16">
        <f>P36</f>
        <v>1440</v>
      </c>
      <c r="G50" s="50" t="s">
        <v>316</v>
      </c>
      <c r="H50" s="16"/>
      <c r="P50" s="1"/>
      <c r="Q50" s="30"/>
      <c r="V50" s="25"/>
      <c r="X50" s="1"/>
      <c r="Y50" s="30"/>
      <c r="Z50" s="1"/>
      <c r="AC50" s="1" t="s">
        <v>321</v>
      </c>
    </row>
    <row r="51" spans="2:29" x14ac:dyDescent="0.3">
      <c r="B51" s="99" t="s">
        <v>103</v>
      </c>
      <c r="C51" s="100"/>
      <c r="D51" s="100"/>
      <c r="E51" s="100"/>
      <c r="F51" s="1">
        <f>F50*PI()/30</f>
        <v>150.79644737231007</v>
      </c>
      <c r="G51" s="50" t="s">
        <v>317</v>
      </c>
      <c r="H51" s="16"/>
      <c r="I51" s="115" t="s">
        <v>112</v>
      </c>
      <c r="J51" s="117"/>
      <c r="K51" s="33" t="s">
        <v>27</v>
      </c>
      <c r="L51" s="104" t="s">
        <v>120</v>
      </c>
      <c r="M51" s="104"/>
      <c r="N51" s="132" t="s">
        <v>113</v>
      </c>
      <c r="O51" s="132"/>
      <c r="P51" s="104" t="s">
        <v>114</v>
      </c>
      <c r="Q51" s="104"/>
      <c r="R51" s="132" t="s">
        <v>116</v>
      </c>
      <c r="S51" s="132"/>
      <c r="T51" s="49"/>
      <c r="U51" s="49"/>
      <c r="V51" s="49"/>
      <c r="X51" s="1"/>
      <c r="Y51" s="30"/>
      <c r="Z51" s="1"/>
      <c r="AC51" s="49" t="s">
        <v>307</v>
      </c>
    </row>
    <row r="52" spans="2:29" x14ac:dyDescent="0.3">
      <c r="B52" s="99" t="s">
        <v>42</v>
      </c>
      <c r="C52" s="100"/>
      <c r="D52" s="100"/>
      <c r="E52" s="100"/>
      <c r="F52" s="45">
        <f>I41</f>
        <v>190.98593171027443</v>
      </c>
      <c r="G52" s="50" t="s">
        <v>316</v>
      </c>
      <c r="H52" s="16"/>
      <c r="I52" s="99" t="s">
        <v>115</v>
      </c>
      <c r="J52" s="100"/>
      <c r="K52" s="42">
        <f>R36</f>
        <v>0.872</v>
      </c>
      <c r="L52" s="104">
        <v>1</v>
      </c>
      <c r="M52" s="104"/>
      <c r="N52" s="135">
        <f>F50</f>
        <v>1440</v>
      </c>
      <c r="O52" s="135"/>
      <c r="P52" s="134">
        <f>F55</f>
        <v>49.735919716217296</v>
      </c>
      <c r="Q52" s="134"/>
      <c r="R52" s="132">
        <f t="shared" ref="R52:R54" si="17">P52*N52*PI()/1000/30</f>
        <v>7.5000000000000009</v>
      </c>
      <c r="S52" s="132"/>
      <c r="T52" s="16"/>
      <c r="U52" s="30"/>
      <c r="X52" s="1"/>
      <c r="Y52" s="30"/>
      <c r="Z52" s="1"/>
    </row>
    <row r="53" spans="2:29" x14ac:dyDescent="0.3">
      <c r="B53" s="99" t="s">
        <v>105</v>
      </c>
      <c r="C53" s="100"/>
      <c r="D53" s="100"/>
      <c r="E53" s="100"/>
      <c r="F53" s="16">
        <f>G41</f>
        <v>160</v>
      </c>
      <c r="G53" s="50" t="s">
        <v>16</v>
      </c>
      <c r="H53" s="16"/>
      <c r="I53" s="99" t="s">
        <v>28</v>
      </c>
      <c r="J53" s="100"/>
      <c r="K53" s="7">
        <f>M7</f>
        <v>0.98</v>
      </c>
      <c r="L53" s="100">
        <v>1</v>
      </c>
      <c r="M53" s="100"/>
      <c r="N53" s="136">
        <f>N52/L53</f>
        <v>1440</v>
      </c>
      <c r="O53" s="136"/>
      <c r="P53" s="112">
        <f>P52*L53*K53</f>
        <v>48.741201321892952</v>
      </c>
      <c r="Q53" s="112"/>
      <c r="R53" s="133">
        <f t="shared" si="17"/>
        <v>7.3500000000000005</v>
      </c>
      <c r="S53" s="133"/>
      <c r="T53" s="1"/>
      <c r="U53" s="67"/>
      <c r="V53" s="68"/>
      <c r="X53" s="36"/>
      <c r="Y53" s="30"/>
      <c r="Z53" s="1"/>
    </row>
    <row r="54" spans="2:29" x14ac:dyDescent="0.3">
      <c r="B54" s="99" t="s">
        <v>97</v>
      </c>
      <c r="C54" s="100"/>
      <c r="D54" s="100"/>
      <c r="E54" s="100"/>
      <c r="F54" s="44">
        <f ca="1">F55*F49*PRODUCT(K53:K57)</f>
        <v>339.37130342425513</v>
      </c>
      <c r="G54" s="50" t="s">
        <v>99</v>
      </c>
      <c r="H54" s="16"/>
      <c r="I54" s="99" t="s">
        <v>95</v>
      </c>
      <c r="J54" s="100"/>
      <c r="K54" s="7">
        <f>M6</f>
        <v>0.99</v>
      </c>
      <c r="L54" s="100">
        <v>1</v>
      </c>
      <c r="M54" s="100"/>
      <c r="N54" s="136">
        <f>N53/L54</f>
        <v>1440</v>
      </c>
      <c r="O54" s="136"/>
      <c r="P54" s="112">
        <f>P53*L54*K54</f>
        <v>48.253789308674023</v>
      </c>
      <c r="Q54" s="112"/>
      <c r="R54" s="133">
        <f t="shared" si="17"/>
        <v>7.2765000000000004</v>
      </c>
      <c r="S54" s="133"/>
      <c r="T54" s="1"/>
      <c r="U54" s="67"/>
      <c r="V54" s="68"/>
      <c r="W54" s="53"/>
      <c r="X54" s="1"/>
      <c r="Y54" s="30"/>
      <c r="Z54" s="1"/>
    </row>
    <row r="55" spans="2:29" x14ac:dyDescent="0.3">
      <c r="B55" s="99" t="s">
        <v>98</v>
      </c>
      <c r="C55" s="100"/>
      <c r="D55" s="100"/>
      <c r="E55" s="100"/>
      <c r="F55" s="1">
        <f>F56/F51*1000</f>
        <v>49.735919716217296</v>
      </c>
      <c r="G55" s="50" t="s">
        <v>99</v>
      </c>
      <c r="H55" s="16"/>
      <c r="I55" s="99" t="s">
        <v>94</v>
      </c>
      <c r="J55" s="100"/>
      <c r="K55" s="43">
        <f ca="1">Q41</f>
        <v>0.96143805509807656</v>
      </c>
      <c r="L55" s="112">
        <f>F49</f>
        <v>7.5398223686155026</v>
      </c>
      <c r="M55" s="112"/>
      <c r="N55" s="112">
        <f>N54/L55</f>
        <v>190.98593171027443</v>
      </c>
      <c r="O55" s="112"/>
      <c r="P55" s="128">
        <f ca="1">P54*L55*K55</f>
        <v>349.79520039605768</v>
      </c>
      <c r="Q55" s="128"/>
      <c r="R55" s="133">
        <f ca="1">P55*N55*PI()/1000/30</f>
        <v>6.9959040079211547</v>
      </c>
      <c r="S55" s="133"/>
      <c r="T55" s="1"/>
      <c r="U55" s="67"/>
      <c r="V55" s="68"/>
      <c r="W55" s="36"/>
      <c r="X55" s="1"/>
      <c r="Y55" s="30"/>
      <c r="Z55" s="1"/>
    </row>
    <row r="56" spans="2:29" x14ac:dyDescent="0.3">
      <c r="B56" s="99" t="s">
        <v>287</v>
      </c>
      <c r="C56" s="100"/>
      <c r="D56" s="100"/>
      <c r="E56" s="100"/>
      <c r="F56" s="1">
        <f>I36</f>
        <v>7.5</v>
      </c>
      <c r="G56" s="50" t="s">
        <v>106</v>
      </c>
      <c r="I56" s="99" t="s">
        <v>28</v>
      </c>
      <c r="J56" s="100"/>
      <c r="K56" s="7">
        <f>M7</f>
        <v>0.98</v>
      </c>
      <c r="L56" s="100">
        <v>1</v>
      </c>
      <c r="M56" s="100"/>
      <c r="N56" s="112">
        <f>N55/L56</f>
        <v>190.98593171027443</v>
      </c>
      <c r="O56" s="112"/>
      <c r="P56" s="128">
        <f ca="1">P55*L56*K56</f>
        <v>342.7992963881365</v>
      </c>
      <c r="Q56" s="128"/>
      <c r="R56" s="133">
        <f ca="1">P56*N56*PI()/1000/30</f>
        <v>6.8559859277627302</v>
      </c>
      <c r="S56" s="133"/>
      <c r="T56" s="1"/>
      <c r="U56" s="67"/>
      <c r="V56" s="68"/>
    </row>
    <row r="57" spans="2:29" x14ac:dyDescent="0.3">
      <c r="B57" s="99" t="s">
        <v>101</v>
      </c>
      <c r="C57" s="100"/>
      <c r="D57" s="100"/>
      <c r="E57" s="100"/>
      <c r="F57" s="1">
        <f>Q36</f>
        <v>2.2000000000000002</v>
      </c>
      <c r="G57" s="50"/>
      <c r="I57" s="99" t="s">
        <v>95</v>
      </c>
      <c r="J57" s="100"/>
      <c r="K57" s="7">
        <f>M6</f>
        <v>0.99</v>
      </c>
      <c r="L57" s="100">
        <v>1</v>
      </c>
      <c r="M57" s="100"/>
      <c r="N57" s="112">
        <f>N56/L57</f>
        <v>190.98593171027443</v>
      </c>
      <c r="O57" s="112"/>
      <c r="P57" s="128">
        <f ca="1">P56*L57*K57</f>
        <v>339.37130342425513</v>
      </c>
      <c r="Q57" s="128"/>
      <c r="R57" s="133">
        <f ca="1">P57*N57*PI()/1000/30</f>
        <v>6.7874260684851038</v>
      </c>
      <c r="S57" s="133"/>
      <c r="T57" s="1"/>
      <c r="U57" s="67"/>
      <c r="V57" s="68"/>
    </row>
    <row r="58" spans="2:29" x14ac:dyDescent="0.3">
      <c r="B58" s="99" t="s">
        <v>102</v>
      </c>
      <c r="C58" s="100"/>
      <c r="D58" s="100"/>
      <c r="E58" s="100"/>
      <c r="F58" s="44">
        <f>MAX(F57,E8)</f>
        <v>2.2000000000000002</v>
      </c>
      <c r="G58" s="50"/>
      <c r="I58" s="106" t="s">
        <v>130</v>
      </c>
      <c r="J58" s="107"/>
      <c r="K58" s="12"/>
      <c r="L58" s="4"/>
      <c r="M58" s="4"/>
      <c r="N58" s="101">
        <f>N57</f>
        <v>190.98593171027443</v>
      </c>
      <c r="O58" s="101"/>
      <c r="P58" s="130">
        <f ca="1">P57</f>
        <v>339.37130342425513</v>
      </c>
      <c r="Q58" s="130"/>
      <c r="R58" s="4"/>
      <c r="S58" s="4"/>
      <c r="T58" s="16"/>
      <c r="U58" s="16"/>
      <c r="V58" s="16"/>
    </row>
    <row r="59" spans="2:29" x14ac:dyDescent="0.3">
      <c r="B59" s="99" t="s">
        <v>107</v>
      </c>
      <c r="C59" s="100"/>
      <c r="D59" s="100"/>
      <c r="E59" s="100"/>
      <c r="F59" s="1">
        <f ca="1">K57*K55*K56*K54*K53</f>
        <v>0.90499014246468046</v>
      </c>
      <c r="G59" s="50"/>
    </row>
    <row r="60" spans="2:29" x14ac:dyDescent="0.3">
      <c r="B60" s="99" t="s">
        <v>109</v>
      </c>
      <c r="C60" s="100"/>
      <c r="D60" s="100"/>
      <c r="E60" s="100"/>
      <c r="F60" s="1">
        <f ca="1">F59*K52</f>
        <v>0.78915140422920138</v>
      </c>
      <c r="G60" s="50"/>
    </row>
    <row r="61" spans="2:29" x14ac:dyDescent="0.3">
      <c r="B61" s="100" t="s">
        <v>129</v>
      </c>
      <c r="C61" s="100"/>
      <c r="D61" s="100"/>
      <c r="E61" s="100"/>
      <c r="F61" s="69">
        <v>38</v>
      </c>
      <c r="G61" s="1" t="s">
        <v>16</v>
      </c>
    </row>
    <row r="62" spans="2:29" x14ac:dyDescent="0.3">
      <c r="B62" s="48"/>
      <c r="C62" s="48"/>
      <c r="D62" s="48"/>
      <c r="E62" s="48"/>
      <c r="F62" s="48"/>
    </row>
    <row r="63" spans="2:29" x14ac:dyDescent="0.3">
      <c r="B63" s="48"/>
      <c r="C63" s="48"/>
      <c r="D63" s="48"/>
      <c r="E63" s="48"/>
      <c r="F63" s="48"/>
    </row>
    <row r="65" spans="7:7" x14ac:dyDescent="0.3">
      <c r="G65" s="51"/>
    </row>
  </sheetData>
  <mergeCells count="151">
    <mergeCell ref="L54:M54"/>
    <mergeCell ref="L55:M55"/>
    <mergeCell ref="L56:M56"/>
    <mergeCell ref="L57:M57"/>
    <mergeCell ref="N52:O52"/>
    <mergeCell ref="N53:O53"/>
    <mergeCell ref="N54:O54"/>
    <mergeCell ref="N55:O55"/>
    <mergeCell ref="N56:O56"/>
    <mergeCell ref="N57:O57"/>
    <mergeCell ref="R51:S51"/>
    <mergeCell ref="R52:S52"/>
    <mergeCell ref="R53:S53"/>
    <mergeCell ref="R54:S54"/>
    <mergeCell ref="R55:S55"/>
    <mergeCell ref="R56:S56"/>
    <mergeCell ref="R57:S57"/>
    <mergeCell ref="I57:J57"/>
    <mergeCell ref="I56:J56"/>
    <mergeCell ref="I55:J55"/>
    <mergeCell ref="I54:J54"/>
    <mergeCell ref="I53:J53"/>
    <mergeCell ref="I52:J52"/>
    <mergeCell ref="P51:Q51"/>
    <mergeCell ref="P52:Q52"/>
    <mergeCell ref="P53:Q53"/>
    <mergeCell ref="P54:Q54"/>
    <mergeCell ref="P55:Q55"/>
    <mergeCell ref="P56:Q56"/>
    <mergeCell ref="P57:Q57"/>
    <mergeCell ref="N51:O51"/>
    <mergeCell ref="L51:M51"/>
    <mergeCell ref="L52:M52"/>
    <mergeCell ref="L53:M53"/>
    <mergeCell ref="B61:E61"/>
    <mergeCell ref="I58:J58"/>
    <mergeCell ref="N58:O58"/>
    <mergeCell ref="P58:Q58"/>
    <mergeCell ref="B59:E59"/>
    <mergeCell ref="B60:E60"/>
    <mergeCell ref="B57:E57"/>
    <mergeCell ref="B58:E58"/>
    <mergeCell ref="B56:E56"/>
    <mergeCell ref="A1:F1"/>
    <mergeCell ref="A2:D2"/>
    <mergeCell ref="A3:D3"/>
    <mergeCell ref="A4:D4"/>
    <mergeCell ref="A5:D5"/>
    <mergeCell ref="A6:D6"/>
    <mergeCell ref="A7:D7"/>
    <mergeCell ref="A8:D8"/>
    <mergeCell ref="E4:G4"/>
    <mergeCell ref="L48:M48"/>
    <mergeCell ref="I31:J31"/>
    <mergeCell ref="I32:J32"/>
    <mergeCell ref="I33:J33"/>
    <mergeCell ref="I34:J34"/>
    <mergeCell ref="I35:J35"/>
    <mergeCell ref="Q2:S2"/>
    <mergeCell ref="Q3:S3"/>
    <mergeCell ref="Q4:S4"/>
    <mergeCell ref="Q5:S5"/>
    <mergeCell ref="Q6:S6"/>
    <mergeCell ref="Q7:S7"/>
    <mergeCell ref="I29:J29"/>
    <mergeCell ref="I30:J30"/>
    <mergeCell ref="I40:J40"/>
    <mergeCell ref="I41:J41"/>
    <mergeCell ref="I42:J42"/>
    <mergeCell ref="I43:J43"/>
    <mergeCell ref="I44:J44"/>
    <mergeCell ref="I45:J45"/>
    <mergeCell ref="I46:J46"/>
    <mergeCell ref="I19:J19"/>
    <mergeCell ref="G39:J39"/>
    <mergeCell ref="G38:J38"/>
    <mergeCell ref="B55:E55"/>
    <mergeCell ref="B54:E54"/>
    <mergeCell ref="B53:E53"/>
    <mergeCell ref="B52:E52"/>
    <mergeCell ref="B51:E51"/>
    <mergeCell ref="A11:G11"/>
    <mergeCell ref="A10:G10"/>
    <mergeCell ref="A9:G9"/>
    <mergeCell ref="I51:J51"/>
    <mergeCell ref="I36:J36"/>
    <mergeCell ref="G46:H46"/>
    <mergeCell ref="G41:H41"/>
    <mergeCell ref="G40:H40"/>
    <mergeCell ref="G42:H42"/>
    <mergeCell ref="G43:H43"/>
    <mergeCell ref="G44:H44"/>
    <mergeCell ref="G45:H45"/>
    <mergeCell ref="G36:H36"/>
    <mergeCell ref="B50:E50"/>
    <mergeCell ref="B49:E49"/>
    <mergeCell ref="F48:G48"/>
    <mergeCell ref="B48:E48"/>
    <mergeCell ref="A12:D12"/>
    <mergeCell ref="I20:J20"/>
    <mergeCell ref="A15:D15"/>
    <mergeCell ref="I6:J6"/>
    <mergeCell ref="K5:L5"/>
    <mergeCell ref="M5:N5"/>
    <mergeCell ref="K6:L6"/>
    <mergeCell ref="M6:N6"/>
    <mergeCell ref="A14:D14"/>
    <mergeCell ref="E12:G12"/>
    <mergeCell ref="A13:D13"/>
    <mergeCell ref="I9:L9"/>
    <mergeCell ref="I10:L10"/>
    <mergeCell ref="M10:N10"/>
    <mergeCell ref="I11:L11"/>
    <mergeCell ref="AC8:AE8"/>
    <mergeCell ref="AC6:AE6"/>
    <mergeCell ref="K19:N19"/>
    <mergeCell ref="AC2:AE2"/>
    <mergeCell ref="AC3:AE3"/>
    <mergeCell ref="AC4:AE4"/>
    <mergeCell ref="I7:J7"/>
    <mergeCell ref="K7:L7"/>
    <mergeCell ref="M7:N7"/>
    <mergeCell ref="M9:N9"/>
    <mergeCell ref="AC5:AE5"/>
    <mergeCell ref="AC7:AE7"/>
    <mergeCell ref="AC10:AE10"/>
    <mergeCell ref="AC9:AE9"/>
    <mergeCell ref="Q8:S8"/>
    <mergeCell ref="Q9:S9"/>
    <mergeCell ref="Q10:S10"/>
    <mergeCell ref="Q11:S11"/>
    <mergeCell ref="M2:N2"/>
    <mergeCell ref="I2:L2"/>
    <mergeCell ref="I4:N4"/>
    <mergeCell ref="I3:N3"/>
    <mergeCell ref="I28:J28"/>
    <mergeCell ref="M11:N11"/>
    <mergeCell ref="S19:V19"/>
    <mergeCell ref="W19:Z19"/>
    <mergeCell ref="O19:R19"/>
    <mergeCell ref="Q12:S12"/>
    <mergeCell ref="I8:J8"/>
    <mergeCell ref="K8:L8"/>
    <mergeCell ref="M8:N8"/>
    <mergeCell ref="I21:J21"/>
    <mergeCell ref="I22:J22"/>
    <mergeCell ref="I23:J23"/>
    <mergeCell ref="I24:J24"/>
    <mergeCell ref="I25:J25"/>
    <mergeCell ref="I26:J26"/>
    <mergeCell ref="I27:J27"/>
  </mergeCells>
  <pageMargins left="0.7" right="0.7" top="0.75" bottom="0.75" header="0.3" footer="0.3"/>
  <pageSetup orientation="portrait" horizontalDpi="1200" verticalDpi="12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416109-A6F9-42CB-B875-F300C0970630}">
  <dimension ref="A2:U29"/>
  <sheetViews>
    <sheetView workbookViewId="0">
      <selection activeCell="K18" sqref="K18"/>
    </sheetView>
  </sheetViews>
  <sheetFormatPr defaultRowHeight="14.4" x14ac:dyDescent="0.3"/>
  <cols>
    <col min="1" max="27" width="6.77734375" customWidth="1"/>
  </cols>
  <sheetData>
    <row r="2" spans="1:21" x14ac:dyDescent="0.3">
      <c r="A2" s="124" t="s">
        <v>167</v>
      </c>
      <c r="B2" s="124"/>
      <c r="C2" s="124"/>
      <c r="D2" s="124"/>
      <c r="E2" s="124"/>
      <c r="H2" s="124" t="s">
        <v>180</v>
      </c>
      <c r="I2" s="124"/>
      <c r="J2" s="124"/>
      <c r="K2" s="124"/>
      <c r="L2" s="124"/>
      <c r="P2" s="124" t="s">
        <v>179</v>
      </c>
      <c r="Q2" s="124"/>
      <c r="R2" s="124"/>
      <c r="S2" s="124"/>
      <c r="T2" s="124"/>
    </row>
    <row r="3" spans="1:21" x14ac:dyDescent="0.3">
      <c r="A3" s="124" t="s">
        <v>166</v>
      </c>
      <c r="B3" s="124"/>
      <c r="D3" s="61">
        <f>Электродвигатель!$P$53</f>
        <v>48.741201321892952</v>
      </c>
      <c r="E3" t="s">
        <v>99</v>
      </c>
      <c r="H3" s="100" t="s">
        <v>166</v>
      </c>
      <c r="I3" s="100"/>
      <c r="J3" s="100"/>
      <c r="K3" s="63">
        <f>D3</f>
        <v>48.741201321892952</v>
      </c>
      <c r="L3" t="s">
        <v>99</v>
      </c>
      <c r="P3" s="16" t="s">
        <v>166</v>
      </c>
      <c r="R3" s="16"/>
      <c r="S3">
        <f ca="1">Электродвигатель!P55</f>
        <v>349.79520039605768</v>
      </c>
      <c r="T3" t="s">
        <v>99</v>
      </c>
    </row>
    <row r="4" spans="1:21" x14ac:dyDescent="0.3">
      <c r="A4" s="124" t="s">
        <v>70</v>
      </c>
      <c r="B4" s="124"/>
      <c r="D4" s="62">
        <f>Электродвигатель!$N$52</f>
        <v>1440</v>
      </c>
      <c r="E4" t="s">
        <v>104</v>
      </c>
      <c r="H4" s="100" t="s">
        <v>70</v>
      </c>
      <c r="I4" s="100"/>
      <c r="J4" s="100"/>
      <c r="K4" s="64">
        <f>D4</f>
        <v>1440</v>
      </c>
      <c r="L4" t="s">
        <v>316</v>
      </c>
      <c r="P4" s="16" t="s">
        <v>70</v>
      </c>
      <c r="Q4" s="16"/>
      <c r="R4" s="16"/>
      <c r="S4" s="61">
        <f>Электродвигатель!N55</f>
        <v>190.98593171027443</v>
      </c>
      <c r="T4" t="s">
        <v>104</v>
      </c>
    </row>
    <row r="5" spans="1:21" x14ac:dyDescent="0.3">
      <c r="H5" s="124" t="s">
        <v>170</v>
      </c>
      <c r="I5" s="124"/>
      <c r="J5" s="124"/>
      <c r="K5" s="124"/>
      <c r="L5" s="124"/>
      <c r="P5" s="124" t="s">
        <v>122</v>
      </c>
      <c r="Q5" s="124"/>
      <c r="R5" s="124"/>
      <c r="S5" s="124"/>
      <c r="T5" s="124"/>
    </row>
    <row r="6" spans="1:21" x14ac:dyDescent="0.3">
      <c r="A6" s="124" t="s">
        <v>118</v>
      </c>
      <c r="B6" s="124"/>
      <c r="C6" s="124"/>
      <c r="D6" s="66">
        <f>Электродвигатель!$F$61</f>
        <v>38</v>
      </c>
      <c r="E6" t="s">
        <v>16</v>
      </c>
      <c r="H6" s="124" t="s">
        <v>169</v>
      </c>
      <c r="I6" s="124"/>
      <c r="J6" s="124"/>
      <c r="K6">
        <f>Передача!D55</f>
        <v>37.75</v>
      </c>
      <c r="L6" t="s">
        <v>16</v>
      </c>
      <c r="P6" s="124" t="s">
        <v>169</v>
      </c>
      <c r="Q6" s="124"/>
      <c r="R6" s="124"/>
      <c r="S6">
        <f>Передача!D60</f>
        <v>309.75</v>
      </c>
      <c r="T6" t="s">
        <v>16</v>
      </c>
    </row>
    <row r="7" spans="1:21" x14ac:dyDescent="0.3">
      <c r="A7" s="137" t="s">
        <v>192</v>
      </c>
      <c r="B7" s="137"/>
      <c r="C7" s="137"/>
      <c r="D7" s="52">
        <v>0.8</v>
      </c>
      <c r="H7" s="124" t="s">
        <v>178</v>
      </c>
      <c r="I7" s="124"/>
      <c r="J7" s="124"/>
      <c r="K7">
        <f>Передача!D54</f>
        <v>49</v>
      </c>
      <c r="L7" t="s">
        <v>16</v>
      </c>
      <c r="P7" s="124" t="s">
        <v>178</v>
      </c>
      <c r="Q7" s="124"/>
      <c r="R7" s="124"/>
      <c r="S7">
        <f>Передача!D59</f>
        <v>321</v>
      </c>
      <c r="T7" t="s">
        <v>16</v>
      </c>
    </row>
    <row r="8" spans="1:21" x14ac:dyDescent="0.3">
      <c r="A8" s="124" t="s">
        <v>188</v>
      </c>
      <c r="B8" s="124"/>
      <c r="C8" s="124"/>
      <c r="D8" s="71">
        <v>1.2</v>
      </c>
      <c r="H8" s="124" t="s">
        <v>159</v>
      </c>
      <c r="I8" s="124"/>
      <c r="J8" s="124"/>
      <c r="K8">
        <f>Передача!D56</f>
        <v>62</v>
      </c>
      <c r="L8" t="s">
        <v>16</v>
      </c>
      <c r="P8" s="124" t="s">
        <v>159</v>
      </c>
      <c r="Q8" s="124"/>
      <c r="R8" s="124"/>
      <c r="S8">
        <f>Передача!D61</f>
        <v>57</v>
      </c>
      <c r="T8" t="s">
        <v>16</v>
      </c>
    </row>
    <row r="9" spans="1:21" x14ac:dyDescent="0.3">
      <c r="H9" s="124" t="s">
        <v>181</v>
      </c>
      <c r="I9" s="124"/>
      <c r="J9" s="124"/>
      <c r="K9" s="124"/>
      <c r="L9" s="124"/>
      <c r="P9" s="124" t="s">
        <v>181</v>
      </c>
      <c r="Q9" s="124"/>
      <c r="R9" s="124"/>
      <c r="S9" s="124"/>
      <c r="T9" s="124"/>
    </row>
    <row r="10" spans="1:21" x14ac:dyDescent="0.3">
      <c r="H10" s="124" t="s">
        <v>177</v>
      </c>
      <c r="I10" s="124"/>
      <c r="J10" s="124"/>
      <c r="K10">
        <v>7.5</v>
      </c>
      <c r="L10" s="65" t="s">
        <v>184</v>
      </c>
      <c r="P10" s="124" t="s">
        <v>177</v>
      </c>
      <c r="Q10" s="124"/>
      <c r="R10" s="124"/>
      <c r="S10">
        <v>5.4</v>
      </c>
      <c r="T10" s="65" t="s">
        <v>185</v>
      </c>
    </row>
    <row r="11" spans="1:21" x14ac:dyDescent="0.3">
      <c r="H11" s="124" t="s">
        <v>189</v>
      </c>
      <c r="I11" s="124"/>
      <c r="J11" s="124"/>
      <c r="K11">
        <f>K10*(K3)^(1/3)</f>
        <v>27.396389985469561</v>
      </c>
      <c r="L11" t="s">
        <v>16</v>
      </c>
      <c r="P11" s="124" t="s">
        <v>189</v>
      </c>
      <c r="Q11" s="124"/>
      <c r="R11" s="124"/>
      <c r="S11">
        <f ca="1">S10*(S3)^(1/3)</f>
        <v>38.047989101548296</v>
      </c>
      <c r="T11" t="s">
        <v>16</v>
      </c>
    </row>
    <row r="12" spans="1:21" x14ac:dyDescent="0.3">
      <c r="H12" s="124" t="s">
        <v>193</v>
      </c>
      <c r="I12" s="124"/>
      <c r="J12" s="124"/>
      <c r="K12">
        <f>MIN(MAX(K11,D6/D8),D6/D7)</f>
        <v>31.666666666666668</v>
      </c>
      <c r="L12" t="s">
        <v>16</v>
      </c>
      <c r="P12" s="124" t="s">
        <v>182</v>
      </c>
      <c r="Q12" s="124"/>
      <c r="R12" s="124"/>
      <c r="S12" s="66">
        <f ca="1">_xlfn.MINIFS('Ra40'!$B:$B,'Ra40'!$B:$B,"&gt;="&amp;S11)</f>
        <v>40</v>
      </c>
      <c r="T12" t="s">
        <v>16</v>
      </c>
      <c r="U12" t="s">
        <v>191</v>
      </c>
    </row>
    <row r="13" spans="1:21" x14ac:dyDescent="0.3">
      <c r="H13" s="124" t="s">
        <v>182</v>
      </c>
      <c r="I13" s="124"/>
      <c r="J13" s="124"/>
      <c r="K13" s="66">
        <f>_xlfn.MINIFS('Ra40'!$B:$B,'Ra40'!$B:$B,"&gt;="&amp;K12)</f>
        <v>32</v>
      </c>
      <c r="L13" t="s">
        <v>16</v>
      </c>
      <c r="M13" t="s">
        <v>191</v>
      </c>
      <c r="P13" s="124" t="s">
        <v>190</v>
      </c>
      <c r="Q13" s="124"/>
      <c r="R13" s="124"/>
      <c r="S13">
        <f ca="1">_xlfn.MINIFS($28:$28,$26:$26,"&gt;="&amp;S12)</f>
        <v>3.5</v>
      </c>
      <c r="T13" t="s">
        <v>16</v>
      </c>
    </row>
    <row r="14" spans="1:21" x14ac:dyDescent="0.3">
      <c r="A14" s="124" t="s">
        <v>275</v>
      </c>
      <c r="B14" s="124"/>
      <c r="C14" s="124"/>
      <c r="D14">
        <f>Электродвигатель!$F$58</f>
        <v>2.2000000000000002</v>
      </c>
      <c r="H14" s="124" t="s">
        <v>190</v>
      </c>
      <c r="I14" s="124"/>
      <c r="J14" s="124"/>
      <c r="K14">
        <f>_xlfn.MINIFS($28:$28,$26:$26,"&gt;="&amp;K13)</f>
        <v>3.5</v>
      </c>
      <c r="L14" t="s">
        <v>16</v>
      </c>
      <c r="P14" s="124" t="s">
        <v>186</v>
      </c>
      <c r="Q14" s="124"/>
      <c r="R14" s="124"/>
      <c r="S14">
        <f ca="1">S12+2*S13</f>
        <v>47</v>
      </c>
      <c r="T14" t="s">
        <v>16</v>
      </c>
    </row>
    <row r="15" spans="1:21" x14ac:dyDescent="0.3">
      <c r="H15" s="124" t="s">
        <v>186</v>
      </c>
      <c r="I15" s="124"/>
      <c r="J15" s="124"/>
      <c r="K15">
        <f>K13+2*K14</f>
        <v>39</v>
      </c>
      <c r="L15" t="s">
        <v>16</v>
      </c>
      <c r="P15" s="124" t="s">
        <v>254</v>
      </c>
      <c r="Q15" s="124"/>
      <c r="R15" s="124"/>
      <c r="S15" s="66">
        <f ca="1">_xlfn.MINIFS(Подшипники!$A:$A,Подшипники!$A:$A,"&gt;="&amp;S14)</f>
        <v>50</v>
      </c>
      <c r="T15" t="s">
        <v>16</v>
      </c>
    </row>
    <row r="16" spans="1:21" x14ac:dyDescent="0.3">
      <c r="H16" s="124" t="s">
        <v>254</v>
      </c>
      <c r="I16" s="124"/>
      <c r="J16" s="124"/>
      <c r="K16" s="66">
        <f>_xlfn.MINIFS(Подшипники!$A:$A,Подшипники!$A:$A,"&gt;="&amp;K15)</f>
        <v>40</v>
      </c>
      <c r="L16" t="s">
        <v>16</v>
      </c>
      <c r="P16" s="124" t="s">
        <v>250</v>
      </c>
      <c r="Q16" s="124"/>
      <c r="R16" s="124"/>
      <c r="S16">
        <f ca="1">_xlfn.MINIFS(Подшипники!$E$12:$E$24,Подшипники!$A$12:$A$24,"="&amp;$S$15)</f>
        <v>210</v>
      </c>
    </row>
    <row r="17" spans="1:20" x14ac:dyDescent="0.3">
      <c r="H17" s="124" t="s">
        <v>250</v>
      </c>
      <c r="I17" s="124"/>
      <c r="J17" s="124"/>
      <c r="K17">
        <f>_xlfn.MINIFS(Подшипники!$E$12:$E$24,Подшипники!$A$12:$A$24,"="&amp;$K$16)</f>
        <v>208</v>
      </c>
      <c r="P17" s="124" t="s">
        <v>340</v>
      </c>
      <c r="Q17" s="124"/>
      <c r="R17" s="124"/>
      <c r="S17">
        <f ca="1">_xlfn.MINIFS(Подшипники!$F$12:$F$24,Подшипники!$E$12:$E$24,"="&amp;$S$16)</f>
        <v>90</v>
      </c>
      <c r="T17" t="s">
        <v>16</v>
      </c>
    </row>
    <row r="18" spans="1:20" x14ac:dyDescent="0.3">
      <c r="H18" s="124" t="s">
        <v>340</v>
      </c>
      <c r="I18" s="124"/>
      <c r="J18" s="124"/>
      <c r="K18">
        <f>_xlfn.MINIFS(Подшипники!$F$12:$F$24,Подшипники!$E$12:$E$24,"="&amp;$K$17)</f>
        <v>80</v>
      </c>
      <c r="L18" t="s">
        <v>16</v>
      </c>
      <c r="P18" s="124" t="s">
        <v>159</v>
      </c>
      <c r="Q18" s="124"/>
      <c r="R18" s="124"/>
      <c r="S18">
        <f ca="1">_xlfn.MINIFS(Подшипники!G12:G24,Подшипники!$E$12:$E$24,"="&amp;$S$16)</f>
        <v>20</v>
      </c>
      <c r="T18" t="s">
        <v>16</v>
      </c>
    </row>
    <row r="19" spans="1:20" x14ac:dyDescent="0.3">
      <c r="H19" s="124" t="s">
        <v>190</v>
      </c>
      <c r="I19" s="124"/>
      <c r="J19" s="124"/>
      <c r="K19">
        <f>_xlfn.MINIFS($29:$29,$26:$26,"&gt;="&amp;K13)</f>
        <v>2</v>
      </c>
      <c r="L19" t="s">
        <v>16</v>
      </c>
      <c r="P19" s="124" t="s">
        <v>190</v>
      </c>
      <c r="Q19" s="124"/>
      <c r="R19" s="124"/>
      <c r="S19">
        <f ca="1">_xlfn.MINIFS($29:$29,$26:$26,"&gt;="&amp;S12)</f>
        <v>2.2999999999999998</v>
      </c>
      <c r="T19" t="s">
        <v>16</v>
      </c>
    </row>
    <row r="20" spans="1:20" x14ac:dyDescent="0.3">
      <c r="H20" s="124" t="s">
        <v>183</v>
      </c>
      <c r="I20" s="124"/>
      <c r="J20" s="124"/>
      <c r="K20" s="98">
        <f>K16+2*K19</f>
        <v>44</v>
      </c>
      <c r="L20" t="s">
        <v>16</v>
      </c>
      <c r="P20" s="124" t="s">
        <v>187</v>
      </c>
      <c r="Q20" s="124"/>
      <c r="R20" s="124"/>
      <c r="S20">
        <f ca="1">S15+2*S19</f>
        <v>54.6</v>
      </c>
      <c r="T20" t="s">
        <v>16</v>
      </c>
    </row>
    <row r="21" spans="1:20" x14ac:dyDescent="0.3">
      <c r="K21" s="90"/>
      <c r="P21" s="124" t="s">
        <v>257</v>
      </c>
      <c r="Q21" s="124"/>
      <c r="R21" s="124"/>
      <c r="S21" s="66">
        <f ca="1">ROUNDUP(S20,0)</f>
        <v>55</v>
      </c>
      <c r="T21" t="s">
        <v>16</v>
      </c>
    </row>
    <row r="23" spans="1:20" x14ac:dyDescent="0.3">
      <c r="P23" s="48"/>
      <c r="Q23" s="48"/>
      <c r="R23" s="48"/>
    </row>
    <row r="26" spans="1:20" x14ac:dyDescent="0.3">
      <c r="A26" s="124" t="s">
        <v>175</v>
      </c>
      <c r="B26" s="124"/>
      <c r="C26">
        <v>17</v>
      </c>
      <c r="D26">
        <v>24</v>
      </c>
      <c r="E26">
        <v>32</v>
      </c>
      <c r="F26">
        <v>40</v>
      </c>
      <c r="G26">
        <v>45</v>
      </c>
      <c r="H26">
        <v>52</v>
      </c>
      <c r="I26">
        <v>60</v>
      </c>
      <c r="J26">
        <v>67</v>
      </c>
      <c r="K26">
        <v>80</v>
      </c>
      <c r="L26">
        <v>90</v>
      </c>
    </row>
    <row r="27" spans="1:20" x14ac:dyDescent="0.3">
      <c r="A27" s="124" t="s">
        <v>176</v>
      </c>
      <c r="B27" s="124"/>
      <c r="C27">
        <v>22</v>
      </c>
      <c r="D27">
        <v>30</v>
      </c>
      <c r="E27">
        <v>38</v>
      </c>
      <c r="F27">
        <v>44</v>
      </c>
      <c r="G27">
        <v>50</v>
      </c>
      <c r="H27">
        <v>58</v>
      </c>
      <c r="I27">
        <v>65</v>
      </c>
      <c r="J27">
        <v>75</v>
      </c>
      <c r="K27">
        <v>85</v>
      </c>
      <c r="L27">
        <v>95</v>
      </c>
    </row>
    <row r="28" spans="1:20" x14ac:dyDescent="0.3">
      <c r="A28" s="124" t="s">
        <v>173</v>
      </c>
      <c r="B28" s="124"/>
      <c r="C28">
        <v>3</v>
      </c>
      <c r="D28">
        <v>3.5</v>
      </c>
      <c r="E28">
        <v>3.5</v>
      </c>
      <c r="F28">
        <v>3.5</v>
      </c>
      <c r="G28">
        <v>4</v>
      </c>
      <c r="H28">
        <v>4.5</v>
      </c>
      <c r="I28">
        <v>4.5999999999999996</v>
      </c>
      <c r="J28">
        <v>5.0999999999999996</v>
      </c>
      <c r="K28">
        <v>5.6</v>
      </c>
      <c r="L28">
        <v>5.6</v>
      </c>
    </row>
    <row r="29" spans="1:20" x14ac:dyDescent="0.3">
      <c r="A29" s="124" t="s">
        <v>174</v>
      </c>
      <c r="B29" s="124"/>
      <c r="C29">
        <v>1.5</v>
      </c>
      <c r="D29">
        <v>1.8</v>
      </c>
      <c r="E29">
        <v>2</v>
      </c>
      <c r="F29">
        <v>2.2999999999999998</v>
      </c>
      <c r="G29">
        <v>2.2999999999999998</v>
      </c>
      <c r="H29">
        <v>2.5</v>
      </c>
      <c r="I29">
        <v>2.7</v>
      </c>
      <c r="J29">
        <v>2.7</v>
      </c>
      <c r="K29">
        <v>2.7</v>
      </c>
      <c r="L29">
        <v>2.9</v>
      </c>
    </row>
  </sheetData>
  <mergeCells count="48">
    <mergeCell ref="A2:E2"/>
    <mergeCell ref="H2:L2"/>
    <mergeCell ref="P2:T2"/>
    <mergeCell ref="A6:C6"/>
    <mergeCell ref="H5:L5"/>
    <mergeCell ref="A3:B3"/>
    <mergeCell ref="A4:B4"/>
    <mergeCell ref="P5:T5"/>
    <mergeCell ref="H6:J6"/>
    <mergeCell ref="H4:J4"/>
    <mergeCell ref="H3:J3"/>
    <mergeCell ref="H19:J19"/>
    <mergeCell ref="H16:J16"/>
    <mergeCell ref="H15:J15"/>
    <mergeCell ref="H11:J11"/>
    <mergeCell ref="H13:J13"/>
    <mergeCell ref="H18:J18"/>
    <mergeCell ref="H17:J17"/>
    <mergeCell ref="P20:R20"/>
    <mergeCell ref="A26:B26"/>
    <mergeCell ref="A28:B28"/>
    <mergeCell ref="A29:B29"/>
    <mergeCell ref="A27:B27"/>
    <mergeCell ref="H20:J20"/>
    <mergeCell ref="P21:R21"/>
    <mergeCell ref="A7:C7"/>
    <mergeCell ref="H7:J7"/>
    <mergeCell ref="A8:C8"/>
    <mergeCell ref="H10:J10"/>
    <mergeCell ref="H8:J8"/>
    <mergeCell ref="H9:L9"/>
    <mergeCell ref="A14:C14"/>
    <mergeCell ref="P12:R12"/>
    <mergeCell ref="P13:R13"/>
    <mergeCell ref="P14:R14"/>
    <mergeCell ref="P10:R10"/>
    <mergeCell ref="P11:R11"/>
    <mergeCell ref="H12:J12"/>
    <mergeCell ref="H14:J14"/>
    <mergeCell ref="P9:T9"/>
    <mergeCell ref="P6:R6"/>
    <mergeCell ref="P7:R7"/>
    <mergeCell ref="P8:R8"/>
    <mergeCell ref="P19:R19"/>
    <mergeCell ref="P15:R15"/>
    <mergeCell ref="P16:R16"/>
    <mergeCell ref="P17:R17"/>
    <mergeCell ref="P18:R18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1CC587-9EA7-4DCC-9ECD-B77E76609183}">
  <dimension ref="A2:J30"/>
  <sheetViews>
    <sheetView topLeftCell="A4" workbookViewId="0">
      <selection activeCell="G25" sqref="G25"/>
    </sheetView>
  </sheetViews>
  <sheetFormatPr defaultRowHeight="14.4" x14ac:dyDescent="0.3"/>
  <cols>
    <col min="5" max="5" width="10.44140625" bestFit="1" customWidth="1"/>
    <col min="7" max="7" width="9.44140625" bestFit="1" customWidth="1"/>
  </cols>
  <sheetData>
    <row r="2" spans="2:10" x14ac:dyDescent="0.3">
      <c r="B2" t="s">
        <v>339</v>
      </c>
    </row>
    <row r="4" spans="2:10" x14ac:dyDescent="0.3">
      <c r="E4" t="s">
        <v>330</v>
      </c>
    </row>
    <row r="8" spans="2:10" x14ac:dyDescent="0.3">
      <c r="B8" s="138" t="s">
        <v>337</v>
      </c>
      <c r="C8" s="48"/>
      <c r="D8" t="s">
        <v>334</v>
      </c>
      <c r="E8">
        <v>5</v>
      </c>
      <c r="F8">
        <v>5</v>
      </c>
    </row>
    <row r="9" spans="2:10" x14ac:dyDescent="0.3">
      <c r="B9" s="138"/>
      <c r="C9" s="48"/>
      <c r="D9" t="s">
        <v>335</v>
      </c>
      <c r="E9">
        <v>0.5</v>
      </c>
      <c r="F9">
        <v>0.5</v>
      </c>
    </row>
    <row r="10" spans="2:10" x14ac:dyDescent="0.3">
      <c r="B10" s="138"/>
      <c r="C10" s="48"/>
      <c r="D10" t="s">
        <v>212</v>
      </c>
      <c r="E10">
        <v>1.6</v>
      </c>
      <c r="F10">
        <v>1.6</v>
      </c>
    </row>
    <row r="11" spans="2:10" x14ac:dyDescent="0.3">
      <c r="B11" s="138"/>
      <c r="C11" s="48"/>
      <c r="D11" t="s">
        <v>336</v>
      </c>
      <c r="E11">
        <v>0.5</v>
      </c>
      <c r="F11">
        <v>0.5</v>
      </c>
    </row>
    <row r="12" spans="2:10" x14ac:dyDescent="0.3">
      <c r="D12" t="s">
        <v>331</v>
      </c>
      <c r="E12">
        <v>6</v>
      </c>
      <c r="F12">
        <v>6</v>
      </c>
    </row>
    <row r="13" spans="2:10" x14ac:dyDescent="0.3">
      <c r="D13" t="s">
        <v>332</v>
      </c>
      <c r="E13" s="95">
        <f>E12*0.91666</f>
        <v>5.4999599999999997</v>
      </c>
      <c r="F13" s="95">
        <f>F12*0.91666</f>
        <v>5.4999599999999997</v>
      </c>
    </row>
    <row r="14" spans="2:10" x14ac:dyDescent="0.3">
      <c r="D14" t="s">
        <v>286</v>
      </c>
      <c r="E14">
        <f>E21/2</f>
        <v>3</v>
      </c>
      <c r="F14">
        <f>I21/2</f>
        <v>3</v>
      </c>
    </row>
    <row r="16" spans="2:10" x14ac:dyDescent="0.3">
      <c r="C16" s="124" t="s">
        <v>357</v>
      </c>
      <c r="D16" s="124"/>
      <c r="E16" s="124"/>
      <c r="F16" s="124"/>
      <c r="G16" s="124" t="s">
        <v>356</v>
      </c>
      <c r="H16" s="124"/>
      <c r="I16" s="124"/>
      <c r="J16" s="124"/>
    </row>
    <row r="17" spans="1:10" x14ac:dyDescent="0.3">
      <c r="C17" t="s">
        <v>289</v>
      </c>
      <c r="D17" t="s">
        <v>345</v>
      </c>
      <c r="E17" t="s">
        <v>333</v>
      </c>
      <c r="F17" t="s">
        <v>345</v>
      </c>
      <c r="G17" t="s">
        <v>289</v>
      </c>
      <c r="H17" t="s">
        <v>345</v>
      </c>
      <c r="I17" t="s">
        <v>333</v>
      </c>
      <c r="J17" t="s">
        <v>345</v>
      </c>
    </row>
    <row r="18" spans="1:10" x14ac:dyDescent="0.3">
      <c r="A18" s="124" t="s">
        <v>344</v>
      </c>
      <c r="B18" s="124"/>
      <c r="C18">
        <f>Вал!$K$18</f>
        <v>80</v>
      </c>
      <c r="G18">
        <f ca="1">Вал!S17</f>
        <v>90</v>
      </c>
    </row>
    <row r="19" spans="1:10" x14ac:dyDescent="0.3">
      <c r="A19" s="103" t="s">
        <v>341</v>
      </c>
      <c r="B19" s="104"/>
      <c r="C19" s="11">
        <f>C18</f>
        <v>80</v>
      </c>
      <c r="D19" s="8"/>
      <c r="E19" s="93">
        <v>5</v>
      </c>
      <c r="F19" s="6"/>
      <c r="G19" s="11">
        <f ca="1">G18</f>
        <v>90</v>
      </c>
      <c r="H19" s="8"/>
      <c r="I19" s="97">
        <v>5</v>
      </c>
      <c r="J19" s="6"/>
    </row>
    <row r="20" spans="1:10" x14ac:dyDescent="0.3">
      <c r="A20" s="99" t="s">
        <v>337</v>
      </c>
      <c r="B20" s="100"/>
      <c r="C20" s="7">
        <f>C19-2*E9</f>
        <v>79</v>
      </c>
      <c r="D20" s="1"/>
      <c r="E20" s="1">
        <f>E8</f>
        <v>5</v>
      </c>
      <c r="F20" s="3"/>
      <c r="G20" s="7">
        <f ca="1">G19-F9*2</f>
        <v>89</v>
      </c>
      <c r="H20" s="1"/>
      <c r="I20" s="1">
        <f>F8</f>
        <v>5</v>
      </c>
      <c r="J20" s="3"/>
    </row>
    <row r="21" spans="1:10" x14ac:dyDescent="0.3">
      <c r="A21" s="106" t="s">
        <v>343</v>
      </c>
      <c r="B21" s="107"/>
      <c r="C21" s="12">
        <f>C18+E14*2</f>
        <v>86</v>
      </c>
      <c r="D21" s="4"/>
      <c r="E21" s="4">
        <f>E12*1</f>
        <v>6</v>
      </c>
      <c r="F21" s="5" t="s">
        <v>359</v>
      </c>
      <c r="G21" s="12">
        <f ca="1">G18+2*F14</f>
        <v>96</v>
      </c>
      <c r="H21" s="4"/>
      <c r="I21" s="4">
        <f>F12</f>
        <v>6</v>
      </c>
      <c r="J21" s="5" t="s">
        <v>359</v>
      </c>
    </row>
    <row r="22" spans="1:10" x14ac:dyDescent="0.3">
      <c r="A22" s="103" t="s">
        <v>342</v>
      </c>
      <c r="B22" s="104"/>
      <c r="C22" s="96">
        <f>C18-E13*2</f>
        <v>69.000079999999997</v>
      </c>
      <c r="D22" s="8"/>
      <c r="E22" s="8">
        <f>E19+E20+E21-E23</f>
        <v>10</v>
      </c>
      <c r="F22" s="6"/>
      <c r="G22" s="96">
        <f ca="1">G18-F13*2</f>
        <v>79.000079999999997</v>
      </c>
      <c r="H22" s="8"/>
      <c r="I22" s="8">
        <f>I19+I20+I21-I23</f>
        <v>10</v>
      </c>
      <c r="J22" s="6"/>
    </row>
    <row r="23" spans="1:10" x14ac:dyDescent="0.3">
      <c r="A23" s="106" t="s">
        <v>346</v>
      </c>
      <c r="B23" s="107"/>
      <c r="C23" s="12">
        <f>Вал!$K$16</f>
        <v>40</v>
      </c>
      <c r="D23" s="4"/>
      <c r="E23" s="4">
        <f>E12</f>
        <v>6</v>
      </c>
      <c r="F23" s="5"/>
      <c r="G23" s="12">
        <f ca="1">Вал!S15</f>
        <v>50</v>
      </c>
      <c r="H23" s="4"/>
      <c r="I23" s="4">
        <f>F12</f>
        <v>6</v>
      </c>
      <c r="J23" s="5"/>
    </row>
    <row r="25" spans="1:10" x14ac:dyDescent="0.3">
      <c r="A25" s="124" t="s">
        <v>354</v>
      </c>
      <c r="B25" s="124"/>
      <c r="E25">
        <f>SUM(E19:E21)</f>
        <v>16</v>
      </c>
      <c r="F25" t="s">
        <v>16</v>
      </c>
      <c r="I25">
        <f>SUM(I19:I21)</f>
        <v>16</v>
      </c>
      <c r="J25" t="s">
        <v>16</v>
      </c>
    </row>
    <row r="27" spans="1:10" x14ac:dyDescent="0.3">
      <c r="A27" s="124" t="s">
        <v>353</v>
      </c>
      <c r="B27" s="124"/>
      <c r="C27" t="s">
        <v>338</v>
      </c>
      <c r="D27" t="s">
        <v>16</v>
      </c>
    </row>
    <row r="30" spans="1:10" x14ac:dyDescent="0.3">
      <c r="C30" t="s">
        <v>329</v>
      </c>
    </row>
  </sheetData>
  <mergeCells count="11">
    <mergeCell ref="B8:B11"/>
    <mergeCell ref="A19:B19"/>
    <mergeCell ref="A20:B20"/>
    <mergeCell ref="A21:B21"/>
    <mergeCell ref="A22:B22"/>
    <mergeCell ref="A18:B18"/>
    <mergeCell ref="G16:J16"/>
    <mergeCell ref="C16:F16"/>
    <mergeCell ref="A27:B27"/>
    <mergeCell ref="A25:B25"/>
    <mergeCell ref="A23:B23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C98D27-F275-4550-B7FB-3917876B2935}">
  <dimension ref="A1:AA61"/>
  <sheetViews>
    <sheetView topLeftCell="A16" zoomScaleNormal="100" workbookViewId="0">
      <selection activeCell="A47" sqref="A47:C47"/>
    </sheetView>
  </sheetViews>
  <sheetFormatPr defaultRowHeight="14.4" x14ac:dyDescent="0.3"/>
  <cols>
    <col min="1" max="30" width="6.77734375" customWidth="1"/>
  </cols>
  <sheetData>
    <row r="1" spans="1:26" x14ac:dyDescent="0.3">
      <c r="A1" s="100" t="s">
        <v>131</v>
      </c>
      <c r="B1" s="100"/>
      <c r="C1" s="100"/>
      <c r="D1" s="100"/>
      <c r="E1" s="100"/>
      <c r="F1" s="100"/>
    </row>
    <row r="2" spans="1:26" x14ac:dyDescent="0.3">
      <c r="A2" s="99" t="s">
        <v>108</v>
      </c>
      <c r="B2" s="100"/>
      <c r="C2" s="100"/>
      <c r="D2" s="100"/>
      <c r="E2" s="100" t="str">
        <f>Электродвигатель!F48</f>
        <v>Цилиндрическая 1</v>
      </c>
      <c r="F2" s="111"/>
      <c r="K2" s="103" t="s">
        <v>144</v>
      </c>
      <c r="L2" s="104"/>
      <c r="M2" s="104"/>
      <c r="N2" s="104"/>
      <c r="O2" s="104"/>
      <c r="P2" s="104"/>
      <c r="Q2" s="104"/>
      <c r="R2" s="1"/>
    </row>
    <row r="3" spans="1:26" x14ac:dyDescent="0.3">
      <c r="A3" s="99" t="s">
        <v>41</v>
      </c>
      <c r="B3" s="100"/>
      <c r="C3" s="100"/>
      <c r="D3" s="100"/>
      <c r="E3" s="56">
        <f>Электродвигатель!$F$49</f>
        <v>7.5398223686155026</v>
      </c>
      <c r="F3" s="50"/>
      <c r="K3" s="7" t="s">
        <v>147</v>
      </c>
      <c r="L3" s="16" t="s">
        <v>141</v>
      </c>
      <c r="M3" s="1" t="s">
        <v>142</v>
      </c>
      <c r="N3" s="1" t="s">
        <v>139</v>
      </c>
      <c r="O3" s="1" t="s">
        <v>145</v>
      </c>
      <c r="P3" s="1" t="s">
        <v>146</v>
      </c>
      <c r="Q3" s="1" t="s">
        <v>143</v>
      </c>
      <c r="R3" s="25" t="s">
        <v>165</v>
      </c>
    </row>
    <row r="4" spans="1:26" x14ac:dyDescent="0.3">
      <c r="A4" s="99" t="s">
        <v>42</v>
      </c>
      <c r="B4" s="100"/>
      <c r="C4" s="100"/>
      <c r="D4" s="100"/>
      <c r="E4" s="56">
        <f>Электродвигатель!$F$52</f>
        <v>190.98593171027443</v>
      </c>
      <c r="F4" s="50" t="s">
        <v>104</v>
      </c>
      <c r="K4" s="11">
        <v>1</v>
      </c>
      <c r="L4" s="8">
        <v>28.5</v>
      </c>
      <c r="M4" s="8">
        <v>24.8</v>
      </c>
      <c r="N4" s="8">
        <v>0.1</v>
      </c>
      <c r="O4" s="8">
        <v>280</v>
      </c>
      <c r="P4" s="8">
        <v>56.4</v>
      </c>
      <c r="Q4" s="8">
        <v>78.900000000000006</v>
      </c>
      <c r="R4" s="1">
        <f>IF(P4&gt;$E$15,1,0)</f>
        <v>1</v>
      </c>
    </row>
    <row r="5" spans="1:26" x14ac:dyDescent="0.3">
      <c r="A5" s="99" t="s">
        <v>97</v>
      </c>
      <c r="B5" s="100"/>
      <c r="C5" s="100"/>
      <c r="D5" s="100"/>
      <c r="E5" s="25">
        <f ca="1">Электродвигатель!$F$54</f>
        <v>339.37130342425513</v>
      </c>
      <c r="F5" s="50" t="s">
        <v>99</v>
      </c>
      <c r="K5" s="7">
        <v>2</v>
      </c>
      <c r="L5" s="1">
        <v>28.5</v>
      </c>
      <c r="M5" s="1">
        <v>24.8</v>
      </c>
      <c r="N5" s="1">
        <v>0.15</v>
      </c>
      <c r="O5" s="1">
        <v>250</v>
      </c>
      <c r="P5" s="1">
        <v>52.85</v>
      </c>
      <c r="Q5" s="1">
        <v>74.900000000000006</v>
      </c>
      <c r="R5" s="1">
        <f t="shared" ref="R5:R15" si="0">IF(P5&gt;$E$15,1,0)</f>
        <v>1</v>
      </c>
    </row>
    <row r="6" spans="1:26" x14ac:dyDescent="0.3">
      <c r="A6" s="99" t="s">
        <v>102</v>
      </c>
      <c r="B6" s="100"/>
      <c r="C6" s="100"/>
      <c r="D6" s="100"/>
      <c r="E6" s="25">
        <f>Электродвигатель!$F$58</f>
        <v>2.2000000000000002</v>
      </c>
      <c r="F6" s="3"/>
      <c r="K6" s="7">
        <v>3</v>
      </c>
      <c r="L6" s="1">
        <v>28.5</v>
      </c>
      <c r="M6" s="1">
        <v>24.8</v>
      </c>
      <c r="N6" s="1">
        <v>0.315</v>
      </c>
      <c r="O6" s="1">
        <v>200</v>
      </c>
      <c r="P6" s="1">
        <v>42.3</v>
      </c>
      <c r="Q6" s="1">
        <v>68.900000000000006</v>
      </c>
      <c r="R6" s="1">
        <f t="shared" si="0"/>
        <v>1</v>
      </c>
    </row>
    <row r="7" spans="1:26" x14ac:dyDescent="0.3">
      <c r="A7" s="124" t="s">
        <v>138</v>
      </c>
      <c r="B7" s="124"/>
      <c r="C7" s="124"/>
      <c r="D7" s="124"/>
      <c r="E7">
        <f>Электродвигатель!$E$5</f>
        <v>10000</v>
      </c>
      <c r="F7" t="s">
        <v>11</v>
      </c>
      <c r="K7" s="7">
        <v>4</v>
      </c>
      <c r="L7" s="1">
        <v>28.5</v>
      </c>
      <c r="M7" s="1">
        <v>24.8</v>
      </c>
      <c r="N7" s="1">
        <v>0.4</v>
      </c>
      <c r="O7" s="1">
        <v>190</v>
      </c>
      <c r="P7" s="1">
        <v>38.75</v>
      </c>
      <c r="Q7" s="1">
        <v>70.8</v>
      </c>
      <c r="R7" s="1">
        <f t="shared" si="0"/>
        <v>1</v>
      </c>
    </row>
    <row r="8" spans="1:26" x14ac:dyDescent="0.3">
      <c r="A8" s="124" t="s">
        <v>132</v>
      </c>
      <c r="B8" s="124"/>
      <c r="C8" s="124"/>
      <c r="D8" s="124"/>
      <c r="E8" s="124"/>
      <c r="F8" s="124"/>
      <c r="K8" s="7">
        <v>5</v>
      </c>
      <c r="L8" s="1">
        <v>49</v>
      </c>
      <c r="M8" s="1">
        <v>28.5</v>
      </c>
      <c r="N8" s="1">
        <v>0.1</v>
      </c>
      <c r="O8" s="1">
        <v>250</v>
      </c>
      <c r="P8" s="1">
        <v>52.85</v>
      </c>
      <c r="Q8" s="1">
        <v>64.599999999999994</v>
      </c>
      <c r="R8" s="1">
        <f t="shared" si="0"/>
        <v>1</v>
      </c>
      <c r="S8" s="1"/>
    </row>
    <row r="9" spans="1:26" x14ac:dyDescent="0.3">
      <c r="A9" s="124" t="s">
        <v>137</v>
      </c>
      <c r="B9" s="124"/>
      <c r="C9" s="124"/>
      <c r="D9" s="124"/>
      <c r="E9">
        <f>Электродвигатель!$E$15</f>
        <v>300</v>
      </c>
      <c r="F9" t="s">
        <v>22</v>
      </c>
      <c r="K9" s="72">
        <v>6</v>
      </c>
      <c r="L9" s="73">
        <v>49</v>
      </c>
      <c r="M9" s="73">
        <v>28.5</v>
      </c>
      <c r="N9" s="73">
        <v>0.15</v>
      </c>
      <c r="O9" s="73">
        <v>240</v>
      </c>
      <c r="P9" s="73">
        <v>49.35</v>
      </c>
      <c r="Q9" s="74">
        <v>69.400000000000006</v>
      </c>
      <c r="R9" s="1">
        <f t="shared" si="0"/>
        <v>1</v>
      </c>
      <c r="S9" s="54"/>
    </row>
    <row r="10" spans="1:26" x14ac:dyDescent="0.3">
      <c r="A10" s="99" t="s">
        <v>8</v>
      </c>
      <c r="B10" s="100"/>
      <c r="C10" s="100"/>
      <c r="D10" s="100"/>
      <c r="E10" s="16">
        <f>Электродвигатель!$E$7</f>
        <v>3</v>
      </c>
      <c r="F10" s="50" t="s">
        <v>128</v>
      </c>
      <c r="K10" s="58">
        <v>7</v>
      </c>
      <c r="L10" s="44">
        <v>49</v>
      </c>
      <c r="M10" s="44">
        <v>28.5</v>
      </c>
      <c r="N10" s="44">
        <v>0.315</v>
      </c>
      <c r="O10" s="44">
        <v>180</v>
      </c>
      <c r="P10" s="44">
        <v>37.75</v>
      </c>
      <c r="Q10" s="45">
        <v>57.3</v>
      </c>
      <c r="R10" s="1">
        <f t="shared" si="0"/>
        <v>1</v>
      </c>
      <c r="S10" s="54"/>
    </row>
    <row r="11" spans="1:26" x14ac:dyDescent="0.3">
      <c r="A11" s="99" t="s">
        <v>203</v>
      </c>
      <c r="B11" s="100"/>
      <c r="C11" s="100"/>
      <c r="D11" s="100"/>
      <c r="E11" s="47" t="s">
        <v>100</v>
      </c>
      <c r="F11" s="3" t="s">
        <v>125</v>
      </c>
      <c r="K11" s="58">
        <v>8</v>
      </c>
      <c r="L11" s="44">
        <v>49</v>
      </c>
      <c r="M11" s="44">
        <v>28.5</v>
      </c>
      <c r="N11" s="44">
        <v>0.4</v>
      </c>
      <c r="O11" s="44">
        <v>180</v>
      </c>
      <c r="P11" s="45">
        <v>36.299999999999997</v>
      </c>
      <c r="Q11" s="45">
        <v>64.2</v>
      </c>
      <c r="R11" s="1">
        <f t="shared" si="0"/>
        <v>1</v>
      </c>
      <c r="S11" s="54"/>
    </row>
    <row r="12" spans="1:26" x14ac:dyDescent="0.3">
      <c r="A12" s="99" t="s">
        <v>123</v>
      </c>
      <c r="B12" s="100"/>
      <c r="C12" s="100"/>
      <c r="D12" s="100"/>
      <c r="E12" s="55" t="s">
        <v>100</v>
      </c>
      <c r="F12" s="5" t="s">
        <v>124</v>
      </c>
      <c r="K12" s="7">
        <v>9</v>
      </c>
      <c r="L12" s="1">
        <v>59</v>
      </c>
      <c r="M12" s="1">
        <v>59</v>
      </c>
      <c r="N12" s="1">
        <v>0.1</v>
      </c>
      <c r="O12" s="1">
        <v>160</v>
      </c>
      <c r="P12" s="49">
        <v>32.75</v>
      </c>
      <c r="Q12" s="49">
        <v>34.4</v>
      </c>
      <c r="R12" s="1">
        <f t="shared" si="0"/>
        <v>1</v>
      </c>
      <c r="S12" s="54"/>
    </row>
    <row r="13" spans="1:26" x14ac:dyDescent="0.3">
      <c r="A13" s="124" t="s">
        <v>133</v>
      </c>
      <c r="B13" s="124"/>
      <c r="C13" s="124"/>
      <c r="D13" s="124"/>
      <c r="E13" s="124"/>
      <c r="F13" s="124"/>
      <c r="K13" s="7">
        <v>10</v>
      </c>
      <c r="L13" s="1">
        <v>59</v>
      </c>
      <c r="M13" s="1">
        <v>59</v>
      </c>
      <c r="N13" s="1">
        <v>0.15</v>
      </c>
      <c r="O13" s="1">
        <v>140</v>
      </c>
      <c r="P13" s="49">
        <v>28.75</v>
      </c>
      <c r="Q13" s="49">
        <v>31.8</v>
      </c>
      <c r="R13" s="1">
        <f t="shared" si="0"/>
        <v>1</v>
      </c>
      <c r="S13" s="54"/>
    </row>
    <row r="14" spans="1:26" x14ac:dyDescent="0.3">
      <c r="A14" s="124" t="s">
        <v>136</v>
      </c>
      <c r="B14" s="124"/>
      <c r="C14" s="124"/>
      <c r="D14" s="124"/>
      <c r="E14">
        <f>Вал!$D$6</f>
        <v>38</v>
      </c>
      <c r="F14" t="s">
        <v>16</v>
      </c>
      <c r="K14" s="7">
        <v>11</v>
      </c>
      <c r="L14" s="1">
        <v>59</v>
      </c>
      <c r="M14" s="1">
        <v>59</v>
      </c>
      <c r="N14" s="25">
        <v>0.315</v>
      </c>
      <c r="O14" s="25">
        <v>120</v>
      </c>
      <c r="P14" s="49">
        <v>24.2</v>
      </c>
      <c r="Q14" s="49">
        <v>31.9</v>
      </c>
      <c r="R14" s="1">
        <f t="shared" si="0"/>
        <v>1</v>
      </c>
      <c r="S14" s="54"/>
    </row>
    <row r="15" spans="1:26" x14ac:dyDescent="0.3">
      <c r="A15" s="100" t="s">
        <v>134</v>
      </c>
      <c r="B15" s="100"/>
      <c r="C15" s="100"/>
      <c r="D15" s="100"/>
      <c r="E15">
        <f>Вал!$K$21</f>
        <v>0</v>
      </c>
      <c r="F15" t="s">
        <v>16</v>
      </c>
      <c r="K15" s="12">
        <v>12</v>
      </c>
      <c r="L15" s="4">
        <v>59</v>
      </c>
      <c r="M15" s="4">
        <v>59</v>
      </c>
      <c r="N15" s="37">
        <v>0.4</v>
      </c>
      <c r="O15" s="37">
        <v>130</v>
      </c>
      <c r="P15" s="57">
        <v>26.25</v>
      </c>
      <c r="Q15" s="57">
        <v>38.1</v>
      </c>
      <c r="R15" s="1">
        <f t="shared" si="0"/>
        <v>1</v>
      </c>
    </row>
    <row r="16" spans="1:26" x14ac:dyDescent="0.3">
      <c r="A16" s="100" t="s">
        <v>135</v>
      </c>
      <c r="B16" s="100"/>
      <c r="C16" s="100"/>
      <c r="D16" s="100"/>
      <c r="E16">
        <f ca="1">Вал!$S$21</f>
        <v>55</v>
      </c>
      <c r="F16" t="s">
        <v>16</v>
      </c>
      <c r="Z16" s="59"/>
    </row>
    <row r="18" spans="2:26" x14ac:dyDescent="0.3">
      <c r="G18" s="151" t="s">
        <v>147</v>
      </c>
      <c r="H18" s="152"/>
      <c r="I18" s="152"/>
      <c r="J18" s="152"/>
      <c r="K18" s="82">
        <v>6</v>
      </c>
      <c r="L18" s="84"/>
      <c r="M18" s="77"/>
      <c r="N18" s="151" t="s">
        <v>147</v>
      </c>
      <c r="O18" s="152"/>
      <c r="P18" s="152"/>
      <c r="Q18" s="152"/>
      <c r="R18" s="82">
        <v>7</v>
      </c>
      <c r="S18" s="84"/>
      <c r="T18" s="77"/>
      <c r="U18" s="151" t="s">
        <v>147</v>
      </c>
      <c r="V18" s="152"/>
      <c r="W18" s="152"/>
      <c r="X18" s="152"/>
      <c r="Y18" s="82">
        <v>8</v>
      </c>
      <c r="Z18" s="84"/>
    </row>
    <row r="19" spans="2:26" x14ac:dyDescent="0.3">
      <c r="G19" s="142" t="s">
        <v>143</v>
      </c>
      <c r="H19" s="143"/>
      <c r="I19" s="143"/>
      <c r="J19" s="143"/>
      <c r="K19" s="78">
        <v>69</v>
      </c>
      <c r="L19" s="76" t="s">
        <v>150</v>
      </c>
      <c r="M19" s="77"/>
      <c r="N19" s="142" t="s">
        <v>143</v>
      </c>
      <c r="O19" s="143"/>
      <c r="P19" s="143"/>
      <c r="Q19" s="143"/>
      <c r="R19" s="78">
        <v>57</v>
      </c>
      <c r="S19" s="76" t="s">
        <v>150</v>
      </c>
      <c r="T19" s="77"/>
      <c r="U19" s="142" t="s">
        <v>143</v>
      </c>
      <c r="V19" s="143"/>
      <c r="W19" s="143"/>
      <c r="X19" s="143"/>
      <c r="Y19" s="78">
        <v>64</v>
      </c>
      <c r="Z19" s="76" t="s">
        <v>150</v>
      </c>
    </row>
    <row r="20" spans="2:26" x14ac:dyDescent="0.3">
      <c r="G20" s="142" t="s">
        <v>148</v>
      </c>
      <c r="H20" s="143"/>
      <c r="I20" s="143"/>
      <c r="J20" s="143"/>
      <c r="K20" s="75">
        <v>22.3</v>
      </c>
      <c r="L20" s="76" t="s">
        <v>150</v>
      </c>
      <c r="M20" s="77"/>
      <c r="N20" s="142" t="s">
        <v>148</v>
      </c>
      <c r="O20" s="143"/>
      <c r="P20" s="143"/>
      <c r="Q20" s="143"/>
      <c r="R20" s="75">
        <v>20</v>
      </c>
      <c r="S20" s="76" t="s">
        <v>150</v>
      </c>
      <c r="T20" s="77"/>
      <c r="U20" s="142" t="s">
        <v>148</v>
      </c>
      <c r="V20" s="143"/>
      <c r="W20" s="143"/>
      <c r="X20" s="143"/>
      <c r="Y20" s="75">
        <v>25.3</v>
      </c>
      <c r="Z20" s="76" t="s">
        <v>150</v>
      </c>
    </row>
    <row r="21" spans="2:26" x14ac:dyDescent="0.3">
      <c r="G21" s="142" t="s">
        <v>140</v>
      </c>
      <c r="H21" s="143"/>
      <c r="I21" s="143"/>
      <c r="J21" s="143"/>
      <c r="K21" s="75">
        <v>240</v>
      </c>
      <c r="L21" s="76" t="s">
        <v>16</v>
      </c>
      <c r="M21" s="77"/>
      <c r="N21" s="142" t="s">
        <v>140</v>
      </c>
      <c r="O21" s="143"/>
      <c r="P21" s="143"/>
      <c r="Q21" s="143"/>
      <c r="R21" s="75">
        <v>180</v>
      </c>
      <c r="S21" s="76" t="s">
        <v>16</v>
      </c>
      <c r="T21" s="77"/>
      <c r="U21" s="142" t="s">
        <v>140</v>
      </c>
      <c r="V21" s="143"/>
      <c r="W21" s="143"/>
      <c r="X21" s="143"/>
      <c r="Y21" s="75">
        <v>180</v>
      </c>
      <c r="Z21" s="76" t="s">
        <v>16</v>
      </c>
    </row>
    <row r="22" spans="2:26" x14ac:dyDescent="0.3">
      <c r="G22" s="142" t="s">
        <v>149</v>
      </c>
      <c r="H22" s="143"/>
      <c r="I22" s="143"/>
      <c r="J22" s="143"/>
      <c r="K22" s="75">
        <v>3.5</v>
      </c>
      <c r="L22" s="76" t="s">
        <v>16</v>
      </c>
      <c r="M22" s="77"/>
      <c r="N22" s="142" t="s">
        <v>149</v>
      </c>
      <c r="O22" s="143"/>
      <c r="P22" s="143"/>
      <c r="Q22" s="143"/>
      <c r="R22" s="75">
        <v>2.5</v>
      </c>
      <c r="S22" s="76" t="s">
        <v>16</v>
      </c>
      <c r="T22" s="77"/>
      <c r="U22" s="142" t="s">
        <v>149</v>
      </c>
      <c r="V22" s="143"/>
      <c r="W22" s="143"/>
      <c r="X22" s="143"/>
      <c r="Y22" s="75">
        <v>3</v>
      </c>
      <c r="Z22" s="76" t="s">
        <v>16</v>
      </c>
    </row>
    <row r="23" spans="2:26" x14ac:dyDescent="0.3">
      <c r="G23" s="142" t="s">
        <v>0</v>
      </c>
      <c r="H23" s="143"/>
      <c r="I23" s="143"/>
      <c r="J23" s="143"/>
      <c r="K23" s="75">
        <v>1510</v>
      </c>
      <c r="L23" s="76" t="s">
        <v>153</v>
      </c>
      <c r="M23" s="77"/>
      <c r="N23" s="142" t="s">
        <v>0</v>
      </c>
      <c r="O23" s="143"/>
      <c r="P23" s="143"/>
      <c r="Q23" s="143"/>
      <c r="R23" s="75">
        <v>2016</v>
      </c>
      <c r="S23" s="76" t="s">
        <v>153</v>
      </c>
      <c r="T23" s="77"/>
      <c r="U23" s="142" t="s">
        <v>0</v>
      </c>
      <c r="V23" s="143"/>
      <c r="W23" s="143"/>
      <c r="X23" s="143"/>
      <c r="Y23" s="75">
        <v>2013</v>
      </c>
      <c r="Z23" s="76" t="s">
        <v>153</v>
      </c>
    </row>
    <row r="24" spans="2:26" x14ac:dyDescent="0.3">
      <c r="G24" s="142" t="s">
        <v>151</v>
      </c>
      <c r="H24" s="143"/>
      <c r="I24" s="143"/>
      <c r="J24" s="143"/>
      <c r="K24" s="75">
        <v>554</v>
      </c>
      <c r="L24" s="76" t="s">
        <v>153</v>
      </c>
      <c r="M24" s="77"/>
      <c r="N24" s="142" t="s">
        <v>151</v>
      </c>
      <c r="O24" s="143"/>
      <c r="P24" s="143"/>
      <c r="Q24" s="143"/>
      <c r="R24" s="75">
        <v>734</v>
      </c>
      <c r="S24" s="76" t="s">
        <v>153</v>
      </c>
      <c r="T24" s="77"/>
      <c r="U24" s="142" t="s">
        <v>151</v>
      </c>
      <c r="V24" s="143"/>
      <c r="W24" s="143"/>
      <c r="X24" s="143"/>
      <c r="Y24" s="75">
        <v>733</v>
      </c>
      <c r="Z24" s="76" t="s">
        <v>153</v>
      </c>
    </row>
    <row r="25" spans="2:26" x14ac:dyDescent="0.3">
      <c r="G25" s="144" t="s">
        <v>152</v>
      </c>
      <c r="H25" s="145"/>
      <c r="I25" s="145"/>
      <c r="J25" s="145"/>
      <c r="K25" s="80">
        <v>0</v>
      </c>
      <c r="L25" s="81" t="s">
        <v>153</v>
      </c>
      <c r="M25" s="77"/>
      <c r="N25" s="144" t="s">
        <v>152</v>
      </c>
      <c r="O25" s="145"/>
      <c r="P25" s="145"/>
      <c r="Q25" s="145"/>
      <c r="R25" s="80">
        <v>0</v>
      </c>
      <c r="S25" s="81" t="s">
        <v>153</v>
      </c>
      <c r="T25" s="77"/>
      <c r="U25" s="144" t="s">
        <v>152</v>
      </c>
      <c r="V25" s="145"/>
      <c r="W25" s="145"/>
      <c r="X25" s="145"/>
      <c r="Y25" s="80">
        <v>0</v>
      </c>
      <c r="Z25" s="81" t="s">
        <v>153</v>
      </c>
    </row>
    <row r="26" spans="2:26" x14ac:dyDescent="0.3">
      <c r="G26" s="139" t="s">
        <v>155</v>
      </c>
      <c r="H26" s="140"/>
      <c r="I26" s="140"/>
      <c r="J26" s="140"/>
      <c r="K26" s="140"/>
      <c r="L26" s="141"/>
      <c r="M26" s="77"/>
      <c r="N26" s="139" t="s">
        <v>155</v>
      </c>
      <c r="O26" s="140"/>
      <c r="P26" s="140"/>
      <c r="Q26" s="140"/>
      <c r="R26" s="140"/>
      <c r="S26" s="141"/>
      <c r="T26" s="77"/>
      <c r="U26" s="139" t="s">
        <v>155</v>
      </c>
      <c r="V26" s="140"/>
      <c r="W26" s="140"/>
      <c r="X26" s="140"/>
      <c r="Y26" s="140"/>
      <c r="Z26" s="141"/>
    </row>
    <row r="27" spans="2:26" x14ac:dyDescent="0.3">
      <c r="G27" s="142" t="s">
        <v>156</v>
      </c>
      <c r="H27" s="143"/>
      <c r="I27" s="143"/>
      <c r="J27" s="143"/>
      <c r="K27" s="87">
        <v>16</v>
      </c>
      <c r="L27" s="76"/>
      <c r="M27" s="77"/>
      <c r="N27" s="142" t="s">
        <v>156</v>
      </c>
      <c r="O27" s="143"/>
      <c r="P27" s="143"/>
      <c r="Q27" s="143"/>
      <c r="R27" s="87">
        <v>17</v>
      </c>
      <c r="S27" s="76"/>
      <c r="T27" s="77"/>
      <c r="U27" s="142" t="s">
        <v>156</v>
      </c>
      <c r="V27" s="143"/>
      <c r="W27" s="143"/>
      <c r="X27" s="143"/>
      <c r="Y27" s="87">
        <v>14</v>
      </c>
      <c r="Z27" s="76"/>
    </row>
    <row r="28" spans="2:26" x14ac:dyDescent="0.3">
      <c r="G28" s="146" t="s">
        <v>161</v>
      </c>
      <c r="H28" s="147"/>
      <c r="I28" s="147"/>
      <c r="J28" s="147"/>
      <c r="K28" s="87">
        <v>0.3</v>
      </c>
      <c r="L28" s="79" t="s">
        <v>16</v>
      </c>
      <c r="M28" s="77"/>
      <c r="N28" s="146" t="s">
        <v>161</v>
      </c>
      <c r="O28" s="147"/>
      <c r="P28" s="147"/>
      <c r="Q28" s="147"/>
      <c r="R28" s="87">
        <v>-0.3</v>
      </c>
      <c r="S28" s="79" t="s">
        <v>16</v>
      </c>
      <c r="T28" s="77"/>
      <c r="U28" s="146" t="s">
        <v>161</v>
      </c>
      <c r="V28" s="147"/>
      <c r="W28" s="147"/>
      <c r="X28" s="147"/>
      <c r="Y28" s="87">
        <v>0.3</v>
      </c>
      <c r="Z28" s="79" t="s">
        <v>16</v>
      </c>
    </row>
    <row r="29" spans="2:26" x14ac:dyDescent="0.3">
      <c r="G29" s="146" t="s">
        <v>160</v>
      </c>
      <c r="H29" s="147"/>
      <c r="I29" s="147"/>
      <c r="J29" s="147"/>
      <c r="K29" s="87">
        <v>49</v>
      </c>
      <c r="L29" s="79" t="s">
        <v>255</v>
      </c>
      <c r="M29" s="77"/>
      <c r="N29" s="146" t="s">
        <v>160</v>
      </c>
      <c r="O29" s="147"/>
      <c r="P29" s="147"/>
      <c r="Q29" s="147"/>
      <c r="R29" s="87">
        <v>49</v>
      </c>
      <c r="S29" s="79" t="s">
        <v>255</v>
      </c>
      <c r="T29" s="77"/>
      <c r="U29" s="146" t="s">
        <v>160</v>
      </c>
      <c r="V29" s="147"/>
      <c r="W29" s="147"/>
      <c r="X29" s="147"/>
      <c r="Y29" s="87">
        <v>49</v>
      </c>
      <c r="Z29" s="79" t="s">
        <v>255</v>
      </c>
    </row>
    <row r="30" spans="2:26" x14ac:dyDescent="0.3">
      <c r="G30" s="146" t="s">
        <v>162</v>
      </c>
      <c r="H30" s="147"/>
      <c r="I30" s="147"/>
      <c r="J30" s="147"/>
      <c r="K30" s="87" t="s">
        <v>163</v>
      </c>
      <c r="L30" s="76"/>
      <c r="M30" s="77"/>
      <c r="N30" s="146" t="s">
        <v>162</v>
      </c>
      <c r="O30" s="147"/>
      <c r="P30" s="147"/>
      <c r="Q30" s="147"/>
      <c r="R30" s="87" t="s">
        <v>163</v>
      </c>
      <c r="S30" s="76"/>
      <c r="T30" s="77"/>
      <c r="U30" s="146" t="s">
        <v>162</v>
      </c>
      <c r="V30" s="147"/>
      <c r="W30" s="147"/>
      <c r="X30" s="147"/>
      <c r="Y30" s="87" t="s">
        <v>163</v>
      </c>
      <c r="Z30" s="76"/>
    </row>
    <row r="31" spans="2:26" x14ac:dyDescent="0.3">
      <c r="B31" s="86"/>
      <c r="G31" s="142" t="s">
        <v>207</v>
      </c>
      <c r="H31" s="143"/>
      <c r="I31" s="143"/>
      <c r="J31" s="143"/>
      <c r="K31" s="87">
        <v>56</v>
      </c>
      <c r="L31" s="76" t="s">
        <v>16</v>
      </c>
      <c r="M31" s="77"/>
      <c r="N31" s="142" t="s">
        <v>207</v>
      </c>
      <c r="O31" s="143"/>
      <c r="P31" s="143"/>
      <c r="Q31" s="143"/>
      <c r="R31" s="87">
        <v>42.5</v>
      </c>
      <c r="S31" s="76" t="s">
        <v>16</v>
      </c>
      <c r="T31" s="77"/>
      <c r="U31" s="142" t="s">
        <v>207</v>
      </c>
      <c r="V31" s="143"/>
      <c r="W31" s="143"/>
      <c r="X31" s="143"/>
      <c r="Y31" s="87">
        <v>42</v>
      </c>
      <c r="Z31" s="76" t="s">
        <v>16</v>
      </c>
    </row>
    <row r="32" spans="2:26" x14ac:dyDescent="0.3">
      <c r="G32" s="142" t="s">
        <v>178</v>
      </c>
      <c r="H32" s="143"/>
      <c r="I32" s="143"/>
      <c r="J32" s="143"/>
      <c r="K32" s="87">
        <v>65</v>
      </c>
      <c r="L32" s="76" t="s">
        <v>16</v>
      </c>
      <c r="M32" s="77"/>
      <c r="N32" s="142" t="s">
        <v>178</v>
      </c>
      <c r="O32" s="143"/>
      <c r="P32" s="143"/>
      <c r="Q32" s="143"/>
      <c r="R32" s="87">
        <v>49</v>
      </c>
      <c r="S32" s="76" t="s">
        <v>16</v>
      </c>
      <c r="T32" s="77"/>
      <c r="U32" s="142" t="s">
        <v>178</v>
      </c>
      <c r="V32" s="143"/>
      <c r="W32" s="143"/>
      <c r="X32" s="143"/>
      <c r="Y32" s="87">
        <v>49.8</v>
      </c>
      <c r="Z32" s="76" t="s">
        <v>16</v>
      </c>
    </row>
    <row r="33" spans="1:27" x14ac:dyDescent="0.3">
      <c r="G33" s="142" t="s">
        <v>169</v>
      </c>
      <c r="H33" s="143"/>
      <c r="I33" s="143"/>
      <c r="J33" s="143"/>
      <c r="K33" s="87">
        <v>49.35</v>
      </c>
      <c r="L33" s="76" t="s">
        <v>16</v>
      </c>
      <c r="M33" s="77"/>
      <c r="N33" s="142" t="s">
        <v>169</v>
      </c>
      <c r="O33" s="143"/>
      <c r="P33" s="143"/>
      <c r="Q33" s="143"/>
      <c r="R33" s="87">
        <v>37.75</v>
      </c>
      <c r="S33" s="76" t="s">
        <v>16</v>
      </c>
      <c r="T33" s="77"/>
      <c r="U33" s="142" t="s">
        <v>169</v>
      </c>
      <c r="V33" s="143"/>
      <c r="W33" s="143"/>
      <c r="X33" s="143"/>
      <c r="Y33" s="87">
        <v>36.6</v>
      </c>
      <c r="Z33" s="76" t="s">
        <v>16</v>
      </c>
    </row>
    <row r="34" spans="1:27" x14ac:dyDescent="0.3">
      <c r="G34" s="142" t="s">
        <v>159</v>
      </c>
      <c r="H34" s="143"/>
      <c r="I34" s="143"/>
      <c r="J34" s="143"/>
      <c r="K34" s="87">
        <v>40</v>
      </c>
      <c r="L34" s="76" t="s">
        <v>16</v>
      </c>
      <c r="M34" s="77"/>
      <c r="N34" s="142" t="s">
        <v>159</v>
      </c>
      <c r="O34" s="143"/>
      <c r="P34" s="143"/>
      <c r="Q34" s="143"/>
      <c r="R34" s="87">
        <v>62</v>
      </c>
      <c r="S34" s="76" t="s">
        <v>16</v>
      </c>
      <c r="T34" s="77"/>
      <c r="U34" s="144" t="s">
        <v>159</v>
      </c>
      <c r="V34" s="145"/>
      <c r="W34" s="145"/>
      <c r="X34" s="145"/>
      <c r="Y34" s="87">
        <v>79</v>
      </c>
      <c r="Z34" s="81" t="s">
        <v>16</v>
      </c>
    </row>
    <row r="35" spans="1:27" x14ac:dyDescent="0.3">
      <c r="G35" s="139" t="s">
        <v>122</v>
      </c>
      <c r="H35" s="140"/>
      <c r="I35" s="140"/>
      <c r="J35" s="140"/>
      <c r="K35" s="140"/>
      <c r="L35" s="141"/>
      <c r="M35" s="77"/>
      <c r="N35" s="139" t="s">
        <v>122</v>
      </c>
      <c r="O35" s="140"/>
      <c r="P35" s="140"/>
      <c r="Q35" s="140"/>
      <c r="R35" s="140"/>
      <c r="S35" s="141"/>
      <c r="T35" s="77"/>
      <c r="U35" s="139" t="s">
        <v>122</v>
      </c>
      <c r="V35" s="140"/>
      <c r="W35" s="140"/>
      <c r="X35" s="140"/>
      <c r="Y35" s="140"/>
      <c r="Z35" s="141"/>
    </row>
    <row r="36" spans="1:27" x14ac:dyDescent="0.3">
      <c r="G36" s="142" t="s">
        <v>156</v>
      </c>
      <c r="H36" s="143"/>
      <c r="I36" s="143"/>
      <c r="J36" s="143"/>
      <c r="K36" s="87">
        <v>121</v>
      </c>
      <c r="L36" s="76"/>
      <c r="M36" s="77"/>
      <c r="N36" s="142" t="s">
        <v>156</v>
      </c>
      <c r="O36" s="143"/>
      <c r="P36" s="143"/>
      <c r="Q36" s="143"/>
      <c r="R36" s="87">
        <v>127</v>
      </c>
      <c r="S36" s="76"/>
      <c r="T36" s="77"/>
      <c r="U36" s="142" t="s">
        <v>156</v>
      </c>
      <c r="V36" s="143"/>
      <c r="W36" s="143"/>
      <c r="X36" s="143"/>
      <c r="Y36" s="87">
        <v>106</v>
      </c>
      <c r="Z36" s="76"/>
    </row>
    <row r="37" spans="1:27" x14ac:dyDescent="0.3">
      <c r="G37" s="146" t="s">
        <v>161</v>
      </c>
      <c r="H37" s="147"/>
      <c r="I37" s="147"/>
      <c r="J37" s="147"/>
      <c r="K37" s="87">
        <v>-0.22800000000000001</v>
      </c>
      <c r="L37" s="79" t="s">
        <v>16</v>
      </c>
      <c r="M37" s="88"/>
      <c r="N37" s="146" t="s">
        <v>161</v>
      </c>
      <c r="O37" s="147"/>
      <c r="P37" s="147"/>
      <c r="Q37" s="147"/>
      <c r="R37" s="87">
        <v>0.3</v>
      </c>
      <c r="S37" s="79" t="s">
        <v>16</v>
      </c>
      <c r="T37" s="88"/>
      <c r="U37" s="146" t="s">
        <v>161</v>
      </c>
      <c r="V37" s="147"/>
      <c r="W37" s="147"/>
      <c r="X37" s="147"/>
      <c r="Y37" s="87">
        <v>-0.3</v>
      </c>
      <c r="Z37" s="79" t="s">
        <v>16</v>
      </c>
    </row>
    <row r="38" spans="1:27" x14ac:dyDescent="0.3">
      <c r="G38" s="146" t="s">
        <v>160</v>
      </c>
      <c r="H38" s="147"/>
      <c r="I38" s="147"/>
      <c r="J38" s="147"/>
      <c r="K38" s="87">
        <v>28.5</v>
      </c>
      <c r="L38" s="79" t="s">
        <v>255</v>
      </c>
      <c r="M38" s="77"/>
      <c r="N38" s="146" t="s">
        <v>160</v>
      </c>
      <c r="O38" s="147"/>
      <c r="P38" s="147"/>
      <c r="Q38" s="147"/>
      <c r="R38" s="87">
        <v>28.5</v>
      </c>
      <c r="S38" s="79" t="s">
        <v>255</v>
      </c>
      <c r="T38" s="77" t="s">
        <v>364</v>
      </c>
      <c r="U38" s="146" t="s">
        <v>160</v>
      </c>
      <c r="V38" s="147"/>
      <c r="W38" s="147"/>
      <c r="X38" s="147"/>
      <c r="Y38" s="87">
        <v>28.5</v>
      </c>
      <c r="Z38" s="79" t="s">
        <v>255</v>
      </c>
    </row>
    <row r="39" spans="1:27" x14ac:dyDescent="0.3">
      <c r="G39" s="146" t="s">
        <v>162</v>
      </c>
      <c r="H39" s="147"/>
      <c r="I39" s="147"/>
      <c r="J39" s="147"/>
      <c r="K39" s="87" t="s">
        <v>164</v>
      </c>
      <c r="L39" s="76"/>
      <c r="M39" s="77"/>
      <c r="N39" s="146" t="s">
        <v>162</v>
      </c>
      <c r="O39" s="147"/>
      <c r="P39" s="147"/>
      <c r="Q39" s="147"/>
      <c r="R39" s="87" t="s">
        <v>164</v>
      </c>
      <c r="S39" s="76"/>
      <c r="T39" s="77"/>
      <c r="U39" s="146" t="s">
        <v>162</v>
      </c>
      <c r="V39" s="147"/>
      <c r="W39" s="147"/>
      <c r="X39" s="147"/>
      <c r="Y39" s="87" t="s">
        <v>164</v>
      </c>
      <c r="Z39" s="76"/>
      <c r="AA39" s="86"/>
    </row>
    <row r="40" spans="1:27" x14ac:dyDescent="0.3">
      <c r="G40" s="142" t="s">
        <v>207</v>
      </c>
      <c r="H40" s="143"/>
      <c r="I40" s="143"/>
      <c r="J40" s="143"/>
      <c r="K40" s="87">
        <v>423.5</v>
      </c>
      <c r="L40" s="76" t="s">
        <v>16</v>
      </c>
      <c r="M40" s="77"/>
      <c r="N40" s="142" t="s">
        <v>207</v>
      </c>
      <c r="O40" s="143"/>
      <c r="P40" s="143"/>
      <c r="Q40" s="143"/>
      <c r="R40" s="87">
        <v>317.5</v>
      </c>
      <c r="S40" s="76" t="s">
        <v>16</v>
      </c>
      <c r="T40" s="77"/>
      <c r="U40" s="142" t="s">
        <v>207</v>
      </c>
      <c r="V40" s="143"/>
      <c r="W40" s="143"/>
      <c r="X40" s="143"/>
      <c r="Y40" s="87">
        <v>318</v>
      </c>
      <c r="Z40" s="76" t="s">
        <v>16</v>
      </c>
      <c r="AA40" s="86"/>
    </row>
    <row r="41" spans="1:27" x14ac:dyDescent="0.3">
      <c r="G41" s="142" t="s">
        <v>178</v>
      </c>
      <c r="H41" s="143"/>
      <c r="I41" s="143"/>
      <c r="J41" s="143"/>
      <c r="K41" s="87">
        <v>428.9</v>
      </c>
      <c r="L41" s="76" t="s">
        <v>16</v>
      </c>
      <c r="M41" s="77"/>
      <c r="N41" s="142" t="s">
        <v>178</v>
      </c>
      <c r="O41" s="143"/>
      <c r="P41" s="143"/>
      <c r="Q41" s="143"/>
      <c r="R41" s="87">
        <v>321</v>
      </c>
      <c r="S41" s="76" t="s">
        <v>16</v>
      </c>
      <c r="T41" s="77"/>
      <c r="U41" s="142" t="s">
        <v>178</v>
      </c>
      <c r="V41" s="143"/>
      <c r="W41" s="143"/>
      <c r="X41" s="143"/>
      <c r="Y41" s="87">
        <v>322</v>
      </c>
      <c r="Z41" s="76" t="s">
        <v>16</v>
      </c>
      <c r="AA41" s="86"/>
    </row>
    <row r="42" spans="1:27" x14ac:dyDescent="0.3">
      <c r="G42" s="142" t="s">
        <v>169</v>
      </c>
      <c r="H42" s="143"/>
      <c r="I42" s="143"/>
      <c r="J42" s="143"/>
      <c r="K42" s="87">
        <v>413</v>
      </c>
      <c r="L42" s="76" t="s">
        <v>16</v>
      </c>
      <c r="M42" s="77"/>
      <c r="N42" s="142" t="s">
        <v>169</v>
      </c>
      <c r="O42" s="143"/>
      <c r="P42" s="143"/>
      <c r="Q42" s="143"/>
      <c r="R42" s="87">
        <v>309.75</v>
      </c>
      <c r="S42" s="76" t="s">
        <v>16</v>
      </c>
      <c r="T42" s="77"/>
      <c r="U42" s="142" t="s">
        <v>169</v>
      </c>
      <c r="V42" s="143"/>
      <c r="W42" s="143"/>
      <c r="X42" s="143"/>
      <c r="Y42" s="87">
        <v>308.7</v>
      </c>
      <c r="Z42" s="76" t="s">
        <v>16</v>
      </c>
      <c r="AA42" s="16"/>
    </row>
    <row r="43" spans="1:27" x14ac:dyDescent="0.3">
      <c r="G43" s="144" t="s">
        <v>159</v>
      </c>
      <c r="H43" s="145"/>
      <c r="I43" s="145"/>
      <c r="J43" s="145"/>
      <c r="K43" s="89">
        <v>36</v>
      </c>
      <c r="L43" s="81" t="s">
        <v>16</v>
      </c>
      <c r="M43" s="77"/>
      <c r="N43" s="144" t="s">
        <v>159</v>
      </c>
      <c r="O43" s="145"/>
      <c r="P43" s="145"/>
      <c r="Q43" s="145"/>
      <c r="R43" s="89">
        <v>57</v>
      </c>
      <c r="S43" s="81" t="s">
        <v>16</v>
      </c>
      <c r="T43" s="77"/>
      <c r="U43" s="144" t="s">
        <v>159</v>
      </c>
      <c r="V43" s="145"/>
      <c r="W43" s="145"/>
      <c r="X43" s="145"/>
      <c r="Y43" s="89">
        <v>72</v>
      </c>
      <c r="Z43" s="81" t="s">
        <v>16</v>
      </c>
      <c r="AA43" s="86"/>
    </row>
    <row r="44" spans="1:27" x14ac:dyDescent="0.3">
      <c r="L44" s="86"/>
      <c r="AA44" s="86"/>
    </row>
    <row r="45" spans="1:27" x14ac:dyDescent="0.3">
      <c r="A45" s="139" t="s">
        <v>168</v>
      </c>
      <c r="B45" s="140"/>
      <c r="C45" s="140"/>
      <c r="D45" s="140"/>
      <c r="E45" s="85">
        <v>7</v>
      </c>
      <c r="L45" s="86"/>
      <c r="AA45" s="86"/>
    </row>
    <row r="46" spans="1:27" x14ac:dyDescent="0.3">
      <c r="A46" s="142" t="s">
        <v>140</v>
      </c>
      <c r="B46" s="143"/>
      <c r="C46" s="143"/>
      <c r="D46" s="75">
        <f>HLOOKUP($E$45,$18:$43,4)</f>
        <v>180</v>
      </c>
      <c r="E46" s="76" t="s">
        <v>16</v>
      </c>
      <c r="L46" s="86"/>
      <c r="R46" s="86"/>
      <c r="S46" s="86"/>
      <c r="AA46" s="86"/>
    </row>
    <row r="47" spans="1:27" x14ac:dyDescent="0.3">
      <c r="A47" s="148" t="s">
        <v>149</v>
      </c>
      <c r="B47" s="149"/>
      <c r="C47" s="149"/>
      <c r="D47" s="80">
        <f>HLOOKUP($E$45,$18:$43,5)</f>
        <v>2.5</v>
      </c>
      <c r="E47" s="81" t="s">
        <v>16</v>
      </c>
      <c r="L47" s="86"/>
      <c r="AA47" s="86"/>
    </row>
    <row r="48" spans="1:27" x14ac:dyDescent="0.3">
      <c r="A48" s="146" t="s">
        <v>218</v>
      </c>
      <c r="B48" s="147"/>
      <c r="C48" s="147"/>
      <c r="D48" s="147"/>
      <c r="E48" s="150"/>
      <c r="L48" s="86"/>
      <c r="Z48" s="59"/>
    </row>
    <row r="49" spans="1:26" x14ac:dyDescent="0.3">
      <c r="A49" s="151" t="s">
        <v>0</v>
      </c>
      <c r="B49" s="152"/>
      <c r="C49" s="152"/>
      <c r="D49" s="82">
        <f>HLOOKUP($E$45,$18:$43,6)</f>
        <v>2016</v>
      </c>
      <c r="E49" s="84" t="s">
        <v>153</v>
      </c>
      <c r="Z49" s="59"/>
    </row>
    <row r="50" spans="1:26" x14ac:dyDescent="0.3">
      <c r="A50" s="142" t="s">
        <v>151</v>
      </c>
      <c r="B50" s="143"/>
      <c r="C50" s="143"/>
      <c r="D50" s="75">
        <f>HLOOKUP($E$45,$18:$43,7)</f>
        <v>734</v>
      </c>
      <c r="E50" s="76" t="s">
        <v>153</v>
      </c>
      <c r="Z50" s="59"/>
    </row>
    <row r="51" spans="1:26" x14ac:dyDescent="0.3">
      <c r="A51" s="144" t="s">
        <v>152</v>
      </c>
      <c r="B51" s="145"/>
      <c r="C51" s="145"/>
      <c r="D51" s="80">
        <f>HLOOKUP($E$45,$18:$43,8)</f>
        <v>0</v>
      </c>
      <c r="E51" s="81" t="s">
        <v>153</v>
      </c>
      <c r="Z51" s="59"/>
    </row>
    <row r="52" spans="1:26" x14ac:dyDescent="0.3">
      <c r="A52" s="146" t="s">
        <v>208</v>
      </c>
      <c r="B52" s="147"/>
      <c r="C52" s="147"/>
      <c r="D52" s="147"/>
      <c r="E52" s="150"/>
      <c r="Z52" s="59"/>
    </row>
    <row r="53" spans="1:26" x14ac:dyDescent="0.3">
      <c r="A53" s="139" t="s">
        <v>209</v>
      </c>
      <c r="B53" s="140"/>
      <c r="C53" s="140"/>
      <c r="D53" s="82">
        <f>HLOOKUP($E$45,$18:$43,14)</f>
        <v>42.5</v>
      </c>
      <c r="E53" s="83" t="s">
        <v>16</v>
      </c>
      <c r="Z53" s="59"/>
    </row>
    <row r="54" spans="1:26" x14ac:dyDescent="0.3">
      <c r="A54" s="146" t="s">
        <v>158</v>
      </c>
      <c r="B54" s="147"/>
      <c r="C54" s="147"/>
      <c r="D54" s="75">
        <f>HLOOKUP($E$45,$18:$43,15)</f>
        <v>49</v>
      </c>
      <c r="E54" s="76" t="s">
        <v>16</v>
      </c>
      <c r="Z54" s="59"/>
    </row>
    <row r="55" spans="1:26" x14ac:dyDescent="0.3">
      <c r="A55" s="146" t="s">
        <v>157</v>
      </c>
      <c r="B55" s="147"/>
      <c r="C55" s="147"/>
      <c r="D55" s="75">
        <f>HLOOKUP($E$45,$18:$43,16)</f>
        <v>37.75</v>
      </c>
      <c r="E55" s="76" t="s">
        <v>16</v>
      </c>
      <c r="Z55" s="59"/>
    </row>
    <row r="56" spans="1:26" x14ac:dyDescent="0.3">
      <c r="A56" s="148" t="s">
        <v>159</v>
      </c>
      <c r="B56" s="149"/>
      <c r="C56" s="149"/>
      <c r="D56" s="80">
        <f>HLOOKUP($E$45,$18:$43,17)</f>
        <v>62</v>
      </c>
      <c r="E56" s="81" t="s">
        <v>16</v>
      </c>
      <c r="Z56" s="59"/>
    </row>
    <row r="57" spans="1:26" x14ac:dyDescent="0.3">
      <c r="A57" s="146" t="s">
        <v>210</v>
      </c>
      <c r="B57" s="147"/>
      <c r="C57" s="147"/>
      <c r="D57" s="147"/>
      <c r="E57" s="150"/>
      <c r="Z57" s="59"/>
    </row>
    <row r="58" spans="1:26" x14ac:dyDescent="0.3">
      <c r="A58" s="139" t="s">
        <v>209</v>
      </c>
      <c r="B58" s="140"/>
      <c r="C58" s="140"/>
      <c r="D58" s="82">
        <f>HLOOKUP($E$45,$18:$43,23)</f>
        <v>317.5</v>
      </c>
      <c r="E58" s="83" t="s">
        <v>16</v>
      </c>
    </row>
    <row r="59" spans="1:26" x14ac:dyDescent="0.3">
      <c r="A59" s="146" t="s">
        <v>158</v>
      </c>
      <c r="B59" s="147"/>
      <c r="C59" s="147"/>
      <c r="D59" s="75">
        <f>HLOOKUP($E$45,$18:$43,24)</f>
        <v>321</v>
      </c>
      <c r="E59" s="76" t="s">
        <v>16</v>
      </c>
    </row>
    <row r="60" spans="1:26" x14ac:dyDescent="0.3">
      <c r="A60" s="146" t="s">
        <v>276</v>
      </c>
      <c r="B60" s="147"/>
      <c r="C60" s="147"/>
      <c r="D60" s="75">
        <f>HLOOKUP($E$45,$18:$43,25)</f>
        <v>309.75</v>
      </c>
      <c r="E60" s="76" t="s">
        <v>16</v>
      </c>
    </row>
    <row r="61" spans="1:26" x14ac:dyDescent="0.3">
      <c r="A61" s="148" t="s">
        <v>159</v>
      </c>
      <c r="B61" s="149"/>
      <c r="C61" s="149"/>
      <c r="D61" s="80">
        <f>HLOOKUP($E$45,$18:$43,26)</f>
        <v>57</v>
      </c>
      <c r="E61" s="81" t="s">
        <v>16</v>
      </c>
    </row>
  </sheetData>
  <mergeCells count="113">
    <mergeCell ref="G24:J24"/>
    <mergeCell ref="G25:J25"/>
    <mergeCell ref="N43:Q43"/>
    <mergeCell ref="G31:J31"/>
    <mergeCell ref="G32:J32"/>
    <mergeCell ref="G33:J33"/>
    <mergeCell ref="G34:J34"/>
    <mergeCell ref="G35:L35"/>
    <mergeCell ref="G39:J39"/>
    <mergeCell ref="G40:J40"/>
    <mergeCell ref="G41:J41"/>
    <mergeCell ref="G42:J42"/>
    <mergeCell ref="N37:Q37"/>
    <mergeCell ref="N38:Q38"/>
    <mergeCell ref="N39:Q39"/>
    <mergeCell ref="N40:Q40"/>
    <mergeCell ref="N41:Q41"/>
    <mergeCell ref="N42:Q42"/>
    <mergeCell ref="N25:Q25"/>
    <mergeCell ref="G43:J43"/>
    <mergeCell ref="G36:J36"/>
    <mergeCell ref="G37:J37"/>
    <mergeCell ref="G38:J38"/>
    <mergeCell ref="N32:Q32"/>
    <mergeCell ref="A45:D45"/>
    <mergeCell ref="G26:L26"/>
    <mergeCell ref="G27:J27"/>
    <mergeCell ref="G28:J28"/>
    <mergeCell ref="G29:J29"/>
    <mergeCell ref="G30:J30"/>
    <mergeCell ref="N33:Q33"/>
    <mergeCell ref="N34:Q34"/>
    <mergeCell ref="U18:X18"/>
    <mergeCell ref="U19:X19"/>
    <mergeCell ref="U20:X20"/>
    <mergeCell ref="U21:X21"/>
    <mergeCell ref="U22:X22"/>
    <mergeCell ref="N29:Q29"/>
    <mergeCell ref="N30:Q30"/>
    <mergeCell ref="N31:Q31"/>
    <mergeCell ref="U26:Z26"/>
    <mergeCell ref="U24:X24"/>
    <mergeCell ref="U25:X25"/>
    <mergeCell ref="N26:S26"/>
    <mergeCell ref="N27:Q27"/>
    <mergeCell ref="N28:Q28"/>
    <mergeCell ref="U23:X23"/>
    <mergeCell ref="N24:Q24"/>
    <mergeCell ref="K2:Q2"/>
    <mergeCell ref="N18:Q18"/>
    <mergeCell ref="N19:Q19"/>
    <mergeCell ref="A15:D15"/>
    <mergeCell ref="A16:D16"/>
    <mergeCell ref="N20:Q20"/>
    <mergeCell ref="N21:Q21"/>
    <mergeCell ref="N22:Q22"/>
    <mergeCell ref="N23:Q23"/>
    <mergeCell ref="G18:J18"/>
    <mergeCell ref="G19:J19"/>
    <mergeCell ref="G20:J20"/>
    <mergeCell ref="G21:J21"/>
    <mergeCell ref="G22:J22"/>
    <mergeCell ref="G23:J23"/>
    <mergeCell ref="A1:F1"/>
    <mergeCell ref="A8:F8"/>
    <mergeCell ref="A13:F13"/>
    <mergeCell ref="A14:D14"/>
    <mergeCell ref="A9:D9"/>
    <mergeCell ref="A5:D5"/>
    <mergeCell ref="A6:D6"/>
    <mergeCell ref="A12:D12"/>
    <mergeCell ref="A10:D10"/>
    <mergeCell ref="A11:D11"/>
    <mergeCell ref="A2:D2"/>
    <mergeCell ref="E2:F2"/>
    <mergeCell ref="A3:D3"/>
    <mergeCell ref="A4:D4"/>
    <mergeCell ref="A7:D7"/>
    <mergeCell ref="A61:C61"/>
    <mergeCell ref="A48:E48"/>
    <mergeCell ref="A47:C47"/>
    <mergeCell ref="A46:C46"/>
    <mergeCell ref="A49:C49"/>
    <mergeCell ref="A50:C50"/>
    <mergeCell ref="A51:C51"/>
    <mergeCell ref="A56:C56"/>
    <mergeCell ref="A55:C55"/>
    <mergeCell ref="A54:C54"/>
    <mergeCell ref="A59:C59"/>
    <mergeCell ref="A60:C60"/>
    <mergeCell ref="A52:E52"/>
    <mergeCell ref="A53:C53"/>
    <mergeCell ref="A57:E57"/>
    <mergeCell ref="A58:C58"/>
    <mergeCell ref="N35:S35"/>
    <mergeCell ref="N36:Q36"/>
    <mergeCell ref="U41:X41"/>
    <mergeCell ref="U42:X42"/>
    <mergeCell ref="U43:X43"/>
    <mergeCell ref="U27:X27"/>
    <mergeCell ref="U28:X28"/>
    <mergeCell ref="U29:X29"/>
    <mergeCell ref="U30:X30"/>
    <mergeCell ref="U31:X31"/>
    <mergeCell ref="U32:X32"/>
    <mergeCell ref="U33:X33"/>
    <mergeCell ref="U34:X34"/>
    <mergeCell ref="U35:Z35"/>
    <mergeCell ref="U36:X36"/>
    <mergeCell ref="U37:X37"/>
    <mergeCell ref="U38:X38"/>
    <mergeCell ref="U39:X39"/>
    <mergeCell ref="U40:X4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1D7275-A232-429A-A734-4E325D043F64}">
  <dimension ref="A1:AA40"/>
  <sheetViews>
    <sheetView workbookViewId="0">
      <selection activeCell="K29" sqref="K29"/>
    </sheetView>
  </sheetViews>
  <sheetFormatPr defaultRowHeight="14.4" x14ac:dyDescent="0.3"/>
  <cols>
    <col min="1" max="29" width="6.77734375" customWidth="1"/>
  </cols>
  <sheetData>
    <row r="1" spans="1:27" x14ac:dyDescent="0.3">
      <c r="A1" s="124" t="s">
        <v>132</v>
      </c>
      <c r="B1" s="124"/>
      <c r="C1" s="124"/>
      <c r="D1" s="124"/>
      <c r="E1" s="124"/>
      <c r="F1" s="124"/>
    </row>
    <row r="2" spans="1:27" x14ac:dyDescent="0.3">
      <c r="A2" s="100" t="s">
        <v>137</v>
      </c>
      <c r="B2" s="100"/>
      <c r="C2" s="100"/>
      <c r="D2" s="100"/>
      <c r="E2" s="1">
        <f>Передача!$E$9</f>
        <v>300</v>
      </c>
      <c r="F2" s="1" t="s">
        <v>22</v>
      </c>
      <c r="J2" t="s">
        <v>220</v>
      </c>
    </row>
    <row r="3" spans="1:27" x14ac:dyDescent="0.3">
      <c r="A3" s="100" t="s">
        <v>8</v>
      </c>
      <c r="B3" s="100"/>
      <c r="C3" s="100"/>
      <c r="D3" s="100"/>
      <c r="E3" s="16">
        <f>Передача!$E$10</f>
        <v>3</v>
      </c>
      <c r="F3" s="54" t="s">
        <v>128</v>
      </c>
      <c r="J3" s="100" t="s">
        <v>218</v>
      </c>
      <c r="K3" s="100"/>
      <c r="L3" s="100"/>
      <c r="M3" s="100"/>
      <c r="N3" s="100"/>
      <c r="T3" s="124" t="s">
        <v>154</v>
      </c>
      <c r="U3" s="124"/>
      <c r="V3" s="124"/>
      <c r="W3" s="124"/>
      <c r="X3" s="124" t="s">
        <v>181</v>
      </c>
      <c r="Y3" s="124"/>
      <c r="Z3" s="124" t="s">
        <v>170</v>
      </c>
      <c r="AA3" s="124"/>
    </row>
    <row r="4" spans="1:27" x14ac:dyDescent="0.3">
      <c r="A4" s="100" t="s">
        <v>203</v>
      </c>
      <c r="B4" s="100"/>
      <c r="C4" s="100"/>
      <c r="D4" s="100"/>
      <c r="E4" s="47" t="str">
        <f>Передача!$E$11</f>
        <v>?</v>
      </c>
      <c r="F4" s="1"/>
      <c r="J4" s="143" t="s">
        <v>0</v>
      </c>
      <c r="K4" s="143"/>
      <c r="L4" s="143"/>
      <c r="M4" s="78">
        <f>Передача!$D$49</f>
        <v>2016</v>
      </c>
      <c r="N4" s="75" t="s">
        <v>153</v>
      </c>
      <c r="T4" s="124" t="s">
        <v>244</v>
      </c>
      <c r="U4" s="124"/>
      <c r="V4" s="124"/>
      <c r="W4" s="124"/>
      <c r="X4" s="124">
        <v>0</v>
      </c>
      <c r="Y4" s="124"/>
      <c r="Z4" s="124">
        <f ca="1">E19</f>
        <v>55</v>
      </c>
      <c r="AA4" s="124"/>
    </row>
    <row r="5" spans="1:27" x14ac:dyDescent="0.3">
      <c r="A5" s="109" t="s">
        <v>205</v>
      </c>
      <c r="B5" s="109"/>
      <c r="C5" s="109"/>
      <c r="D5" s="109"/>
      <c r="E5" s="70" t="s">
        <v>204</v>
      </c>
      <c r="F5" s="1"/>
      <c r="J5" s="143" t="s">
        <v>151</v>
      </c>
      <c r="K5" s="143"/>
      <c r="L5" s="143"/>
      <c r="M5" s="78">
        <f>Передача!$D$50</f>
        <v>734</v>
      </c>
      <c r="N5" s="75" t="s">
        <v>153</v>
      </c>
      <c r="T5" s="124" t="s">
        <v>246</v>
      </c>
      <c r="U5" s="124"/>
      <c r="V5" s="124"/>
      <c r="W5" s="124"/>
      <c r="X5" s="124">
        <f ca="1">E19</f>
        <v>55</v>
      </c>
      <c r="Y5" s="124"/>
      <c r="Z5" s="124">
        <f>E18</f>
        <v>80</v>
      </c>
      <c r="AA5" s="124"/>
    </row>
    <row r="6" spans="1:27" x14ac:dyDescent="0.3">
      <c r="A6" s="124" t="s">
        <v>149</v>
      </c>
      <c r="B6" s="124"/>
      <c r="C6" s="124"/>
      <c r="D6" s="124"/>
      <c r="E6">
        <f>Передача!$D$47</f>
        <v>2.5</v>
      </c>
      <c r="F6" t="s">
        <v>16</v>
      </c>
      <c r="J6" s="143" t="s">
        <v>152</v>
      </c>
      <c r="K6" s="143"/>
      <c r="L6" s="143"/>
      <c r="M6" s="78">
        <f>Передача!$D$51</f>
        <v>0</v>
      </c>
      <c r="N6" s="75" t="s">
        <v>153</v>
      </c>
      <c r="T6" s="124" t="s">
        <v>349</v>
      </c>
      <c r="U6" s="124"/>
      <c r="V6" s="124"/>
      <c r="W6" s="124"/>
      <c r="X6" s="124">
        <v>45</v>
      </c>
      <c r="Y6" s="124"/>
      <c r="Z6" s="124">
        <v>45</v>
      </c>
      <c r="AA6" s="124"/>
    </row>
    <row r="7" spans="1:27" x14ac:dyDescent="0.3">
      <c r="A7" s="124" t="s">
        <v>207</v>
      </c>
      <c r="B7" s="124"/>
      <c r="C7" s="124"/>
      <c r="D7" s="124"/>
      <c r="E7">
        <f>Передача!$D$58</f>
        <v>317.5</v>
      </c>
      <c r="F7" s="1" t="s">
        <v>16</v>
      </c>
      <c r="T7" s="124" t="s">
        <v>230</v>
      </c>
      <c r="U7" s="124"/>
      <c r="V7" s="124"/>
      <c r="W7" s="124"/>
      <c r="X7" s="155">
        <v>0.3</v>
      </c>
      <c r="Y7" s="155"/>
      <c r="Z7" s="155">
        <v>0.3</v>
      </c>
      <c r="AA7" s="155"/>
    </row>
    <row r="8" spans="1:27" x14ac:dyDescent="0.3">
      <c r="A8" s="100" t="s">
        <v>178</v>
      </c>
      <c r="B8" s="100"/>
      <c r="C8" s="100"/>
      <c r="D8" s="100"/>
      <c r="E8" s="1">
        <f>Передача!$D$59</f>
        <v>321</v>
      </c>
      <c r="F8" s="1" t="s">
        <v>16</v>
      </c>
      <c r="J8" s="154" t="s">
        <v>348</v>
      </c>
      <c r="K8" s="154"/>
      <c r="L8" s="154"/>
      <c r="M8" s="154"/>
      <c r="N8" s="154"/>
      <c r="T8" s="124" t="s">
        <v>241</v>
      </c>
      <c r="U8" s="124"/>
      <c r="V8" s="124"/>
      <c r="W8" s="124"/>
      <c r="X8" s="155">
        <f>2.1*10^5</f>
        <v>210000</v>
      </c>
      <c r="Y8" s="155"/>
      <c r="Z8" s="155">
        <f>2.1*10^5</f>
        <v>210000</v>
      </c>
      <c r="AA8" s="155"/>
    </row>
    <row r="9" spans="1:27" x14ac:dyDescent="0.3">
      <c r="A9" s="100" t="s">
        <v>169</v>
      </c>
      <c r="B9" s="100"/>
      <c r="C9" s="100"/>
      <c r="D9" s="100"/>
      <c r="E9" s="1">
        <f>Передача!$D$60</f>
        <v>309.75</v>
      </c>
      <c r="F9" t="s">
        <v>16</v>
      </c>
      <c r="J9" s="124" t="s">
        <v>166</v>
      </c>
      <c r="K9" s="124"/>
      <c r="L9" s="124"/>
      <c r="M9">
        <f ca="1">Передача!$E$5</f>
        <v>339.37130342425513</v>
      </c>
      <c r="N9" s="25" t="s">
        <v>99</v>
      </c>
      <c r="T9" s="124" t="s">
        <v>240</v>
      </c>
      <c r="U9" s="124"/>
      <c r="V9" s="124"/>
      <c r="W9" s="124"/>
      <c r="X9" s="155">
        <f>VLOOKUP(X6,Материалы!$A:$L,8)</f>
        <v>650</v>
      </c>
      <c r="Y9" s="155"/>
      <c r="Z9" s="155">
        <f>VLOOKUP(Z6,Материалы!$A:$L,8)</f>
        <v>650</v>
      </c>
      <c r="AA9" s="155"/>
    </row>
    <row r="10" spans="1:27" x14ac:dyDescent="0.3">
      <c r="A10" s="124" t="s">
        <v>159</v>
      </c>
      <c r="B10" s="124"/>
      <c r="C10" s="124"/>
      <c r="D10" s="124"/>
      <c r="E10">
        <f>Передача!$D$61</f>
        <v>57</v>
      </c>
      <c r="F10" t="s">
        <v>16</v>
      </c>
      <c r="J10" s="124" t="s">
        <v>221</v>
      </c>
      <c r="K10" s="124"/>
      <c r="L10" s="124"/>
      <c r="M10" s="52">
        <v>3</v>
      </c>
      <c r="N10" s="25" t="s">
        <v>224</v>
      </c>
      <c r="T10" s="124" t="s">
        <v>242</v>
      </c>
      <c r="U10" s="124"/>
      <c r="V10" s="124"/>
      <c r="W10" s="124"/>
      <c r="X10" s="124">
        <f ca="1">(X5*X5+X4*X4)/(X5*X5-X4*X4)-X7</f>
        <v>0.7</v>
      </c>
      <c r="Y10" s="124"/>
      <c r="Z10" s="124">
        <f ca="1">(Z5*Z5+Z4*Z4)/(Z5*Z5-Z4*Z4)+Z7</f>
        <v>3.0925925925925926</v>
      </c>
      <c r="AA10" s="124"/>
    </row>
    <row r="11" spans="1:27" x14ac:dyDescent="0.3">
      <c r="A11" s="124" t="s">
        <v>211</v>
      </c>
      <c r="B11" s="124"/>
      <c r="C11" s="124"/>
      <c r="D11" s="124"/>
      <c r="E11">
        <f>_xlfn.MINIFS($34:$34,$33:$33,"&gt;="&amp;E7)</f>
        <v>5</v>
      </c>
      <c r="F11" t="s">
        <v>16</v>
      </c>
      <c r="J11" s="124" t="s">
        <v>223</v>
      </c>
      <c r="K11" s="124"/>
      <c r="L11" s="124"/>
      <c r="M11" s="52">
        <f>E37</f>
        <v>0.08</v>
      </c>
      <c r="O11" t="s">
        <v>228</v>
      </c>
      <c r="T11" s="124" t="s">
        <v>243</v>
      </c>
      <c r="U11" s="124"/>
      <c r="V11" s="124"/>
      <c r="W11" s="124"/>
      <c r="X11" s="124">
        <f ca="1">0.5*X9*(1-(X4*X4/X5/X5))</f>
        <v>325</v>
      </c>
      <c r="Y11" s="124"/>
      <c r="Z11" s="124">
        <f ca="1">0.5*Z9*(1-(Z4*Z4/Z5/Z5))</f>
        <v>171.38671875</v>
      </c>
      <c r="AA11" s="124"/>
    </row>
    <row r="12" spans="1:27" x14ac:dyDescent="0.3">
      <c r="A12" s="124" t="s">
        <v>212</v>
      </c>
      <c r="B12" s="124"/>
      <c r="C12" s="124"/>
      <c r="D12" s="124"/>
      <c r="E12" t="s">
        <v>213</v>
      </c>
      <c r="F12" t="s">
        <v>16</v>
      </c>
      <c r="J12" s="124" t="s">
        <v>225</v>
      </c>
      <c r="K12" s="124"/>
      <c r="L12" s="124"/>
      <c r="M12" s="25">
        <f>E17</f>
        <v>57</v>
      </c>
      <c r="N12" t="s">
        <v>16</v>
      </c>
      <c r="O12" t="s">
        <v>227</v>
      </c>
    </row>
    <row r="13" spans="1:27" x14ac:dyDescent="0.3">
      <c r="A13" s="153" t="s">
        <v>214</v>
      </c>
      <c r="B13" s="124"/>
      <c r="C13" s="124"/>
      <c r="D13" s="124"/>
      <c r="E13" t="s">
        <v>216</v>
      </c>
      <c r="F13" t="s">
        <v>215</v>
      </c>
      <c r="J13" s="124" t="s">
        <v>222</v>
      </c>
      <c r="K13" s="124"/>
      <c r="L13" s="124"/>
      <c r="M13">
        <f ca="1">2000*M10*M9/(PI()*E19*E19*M12*M11)</f>
        <v>46.98792560548906</v>
      </c>
      <c r="N13" t="s">
        <v>226</v>
      </c>
    </row>
    <row r="14" spans="1:27" x14ac:dyDescent="0.3">
      <c r="A14" s="124" t="s">
        <v>219</v>
      </c>
      <c r="B14" s="124"/>
      <c r="C14" s="124"/>
      <c r="D14" s="124"/>
      <c r="E14">
        <f>2.2*E6+0.05*E10</f>
        <v>8.35</v>
      </c>
      <c r="F14" t="s">
        <v>16</v>
      </c>
      <c r="J14" s="124" t="s">
        <v>229</v>
      </c>
      <c r="K14" s="124"/>
      <c r="L14" s="124"/>
      <c r="M14">
        <f ca="1">1000*M13*E19*(X10/X8+Z10/Z8)</f>
        <v>46.673015345699184</v>
      </c>
      <c r="N14" t="s">
        <v>235</v>
      </c>
    </row>
    <row r="15" spans="1:27" x14ac:dyDescent="0.3">
      <c r="A15" s="124" t="s">
        <v>217</v>
      </c>
      <c r="B15" s="124"/>
      <c r="C15" s="124"/>
      <c r="D15" s="124"/>
      <c r="E15">
        <f ca="1">(E18-E19)/2</f>
        <v>12.5</v>
      </c>
      <c r="F15" t="s">
        <v>16</v>
      </c>
      <c r="J15" s="124" t="s">
        <v>236</v>
      </c>
      <c r="K15" s="124"/>
      <c r="L15" s="124"/>
      <c r="M15">
        <f>5.5*(E20+'тихоходный вал'!E8)</f>
        <v>17.600000000000001</v>
      </c>
      <c r="N15" t="s">
        <v>235</v>
      </c>
      <c r="O15" t="s">
        <v>100</v>
      </c>
    </row>
    <row r="16" spans="1:27" x14ac:dyDescent="0.3">
      <c r="A16" s="124" t="s">
        <v>234</v>
      </c>
      <c r="B16" s="124"/>
      <c r="C16" s="124"/>
      <c r="D16" s="124"/>
      <c r="E16" s="52">
        <v>1</v>
      </c>
      <c r="J16" s="124" t="s">
        <v>237</v>
      </c>
      <c r="K16" s="124"/>
      <c r="L16" s="124"/>
      <c r="N16" t="s">
        <v>235</v>
      </c>
      <c r="O16" t="s">
        <v>100</v>
      </c>
    </row>
    <row r="17" spans="1:15" x14ac:dyDescent="0.3">
      <c r="A17" s="124" t="s">
        <v>232</v>
      </c>
      <c r="B17" s="124"/>
      <c r="C17" s="124"/>
      <c r="D17" s="124"/>
      <c r="E17">
        <f>E10*E16</f>
        <v>57</v>
      </c>
      <c r="F17" t="s">
        <v>16</v>
      </c>
      <c r="J17" s="124" t="s">
        <v>238</v>
      </c>
      <c r="K17" s="124"/>
      <c r="L17" s="124"/>
      <c r="M17" s="25">
        <f ca="1">SUM(M14:M16)</f>
        <v>64.273015345699179</v>
      </c>
      <c r="N17" t="s">
        <v>235</v>
      </c>
    </row>
    <row r="18" spans="1:15" x14ac:dyDescent="0.3">
      <c r="A18" s="124" t="s">
        <v>233</v>
      </c>
      <c r="B18" s="124"/>
      <c r="C18" s="124"/>
      <c r="D18" s="124"/>
      <c r="E18" s="52">
        <v>80</v>
      </c>
      <c r="F18" t="s">
        <v>16</v>
      </c>
      <c r="J18" s="124" t="s">
        <v>245</v>
      </c>
      <c r="K18" s="124"/>
      <c r="L18" s="124"/>
      <c r="M18">
        <f ca="1">MAX(X11:AA11)*M14/M13</f>
        <v>322.82186948853615</v>
      </c>
      <c r="N18" t="s">
        <v>235</v>
      </c>
    </row>
    <row r="19" spans="1:15" x14ac:dyDescent="0.3">
      <c r="A19" s="154" t="s">
        <v>231</v>
      </c>
      <c r="B19" s="154"/>
      <c r="C19" s="154"/>
      <c r="D19" s="154"/>
      <c r="E19" s="77">
        <f ca="1">Вал!$S$21</f>
        <v>55</v>
      </c>
      <c r="F19" s="77" t="s">
        <v>16</v>
      </c>
      <c r="J19" s="124" t="s">
        <v>239</v>
      </c>
      <c r="K19" s="124"/>
      <c r="L19" s="124"/>
      <c r="M19" s="90">
        <f ca="1">M18+M15</f>
        <v>340.42186948853617</v>
      </c>
      <c r="N19" t="s">
        <v>235</v>
      </c>
    </row>
    <row r="20" spans="1:15" x14ac:dyDescent="0.3">
      <c r="A20" s="124" t="s">
        <v>284</v>
      </c>
      <c r="B20" s="124"/>
      <c r="C20" s="124"/>
      <c r="D20" s="124"/>
      <c r="E20" s="71">
        <v>1.6</v>
      </c>
      <c r="F20" s="77" t="s">
        <v>235</v>
      </c>
      <c r="M20" s="94" t="s">
        <v>355</v>
      </c>
    </row>
    <row r="21" spans="1:15" x14ac:dyDescent="0.3">
      <c r="A21" s="124" t="s">
        <v>286</v>
      </c>
      <c r="B21" s="124"/>
      <c r="C21" s="124"/>
      <c r="D21" s="124"/>
      <c r="E21">
        <f ca="1">MAX(E10/4,(E15+E14)/2)</f>
        <v>14.25</v>
      </c>
      <c r="F21" t="s">
        <v>16</v>
      </c>
      <c r="J21" s="124" t="s">
        <v>256</v>
      </c>
      <c r="K21" s="124"/>
      <c r="L21" s="124"/>
      <c r="M21">
        <v>66</v>
      </c>
      <c r="N21">
        <v>108</v>
      </c>
      <c r="O21" t="s">
        <v>235</v>
      </c>
    </row>
    <row r="22" spans="1:15" x14ac:dyDescent="0.3">
      <c r="A22" s="124" t="s">
        <v>347</v>
      </c>
      <c r="B22" s="124"/>
      <c r="C22" s="124"/>
      <c r="D22" s="124"/>
      <c r="E22">
        <f ca="1">(E10-E21)/2</f>
        <v>21.375</v>
      </c>
      <c r="F22" t="s">
        <v>16</v>
      </c>
      <c r="J22" s="124" t="s">
        <v>248</v>
      </c>
      <c r="K22" s="124"/>
      <c r="L22" s="124"/>
      <c r="M22">
        <v>0.2</v>
      </c>
    </row>
    <row r="23" spans="1:15" x14ac:dyDescent="0.3">
      <c r="J23" s="124" t="s">
        <v>247</v>
      </c>
      <c r="K23" s="124"/>
      <c r="L23" s="124"/>
      <c r="M23">
        <f ca="1">PI()*E19*M12*(M21-M15)*M22/1000</f>
        <v>95.337283939958738</v>
      </c>
      <c r="N23" t="s">
        <v>4</v>
      </c>
    </row>
    <row r="26" spans="1:15" x14ac:dyDescent="0.3">
      <c r="J26" s="48"/>
      <c r="K26" s="48"/>
    </row>
    <row r="32" spans="1:15" x14ac:dyDescent="0.3">
      <c r="A32" s="124" t="s">
        <v>175</v>
      </c>
      <c r="B32" s="124"/>
      <c r="C32">
        <v>20</v>
      </c>
      <c r="D32">
        <v>30</v>
      </c>
      <c r="E32">
        <v>40</v>
      </c>
      <c r="F32">
        <v>50</v>
      </c>
      <c r="G32">
        <v>80</v>
      </c>
      <c r="H32">
        <v>120</v>
      </c>
      <c r="I32">
        <v>150</v>
      </c>
      <c r="J32">
        <v>250</v>
      </c>
    </row>
    <row r="33" spans="1:10" x14ac:dyDescent="0.3">
      <c r="A33" s="124" t="s">
        <v>176</v>
      </c>
      <c r="B33" s="124"/>
      <c r="C33">
        <v>30</v>
      </c>
      <c r="D33">
        <v>40</v>
      </c>
      <c r="E33">
        <v>50</v>
      </c>
      <c r="F33">
        <v>80</v>
      </c>
      <c r="G33">
        <v>120</v>
      </c>
      <c r="H33">
        <v>150</v>
      </c>
      <c r="I33">
        <v>250</v>
      </c>
      <c r="J33">
        <v>500</v>
      </c>
    </row>
    <row r="34" spans="1:10" x14ac:dyDescent="0.3">
      <c r="A34" s="124" t="s">
        <v>206</v>
      </c>
      <c r="B34" s="124"/>
      <c r="C34">
        <v>1</v>
      </c>
      <c r="D34">
        <v>1.2</v>
      </c>
      <c r="E34">
        <v>1.6</v>
      </c>
      <c r="F34">
        <v>2</v>
      </c>
      <c r="G34">
        <v>2.5</v>
      </c>
      <c r="H34">
        <v>3</v>
      </c>
      <c r="I34">
        <v>4</v>
      </c>
      <c r="J34">
        <v>5</v>
      </c>
    </row>
    <row r="36" spans="1:10" x14ac:dyDescent="0.3">
      <c r="A36" s="124" t="s">
        <v>277</v>
      </c>
      <c r="B36" s="124"/>
      <c r="C36" s="124" t="s">
        <v>278</v>
      </c>
      <c r="D36" s="124"/>
      <c r="E36" s="124" t="s">
        <v>282</v>
      </c>
      <c r="F36" s="124"/>
      <c r="G36" s="124" t="s">
        <v>283</v>
      </c>
      <c r="H36" s="124"/>
    </row>
    <row r="37" spans="1:10" x14ac:dyDescent="0.3">
      <c r="A37" s="124" t="s">
        <v>279</v>
      </c>
      <c r="B37" s="124"/>
      <c r="C37" s="124" t="s">
        <v>279</v>
      </c>
      <c r="D37" s="124"/>
      <c r="E37" s="124">
        <v>0.08</v>
      </c>
      <c r="F37" s="124"/>
      <c r="G37" s="124">
        <v>0.14000000000000001</v>
      </c>
      <c r="H37" s="124"/>
    </row>
    <row r="38" spans="1:10" x14ac:dyDescent="0.3">
      <c r="A38" s="124" t="s">
        <v>280</v>
      </c>
      <c r="B38" s="124"/>
      <c r="C38" s="124" t="s">
        <v>279</v>
      </c>
      <c r="D38" s="124"/>
      <c r="E38" s="124">
        <v>0.08</v>
      </c>
      <c r="F38" s="124"/>
      <c r="G38" s="124">
        <v>0.14000000000000001</v>
      </c>
      <c r="H38" s="124"/>
    </row>
    <row r="39" spans="1:10" x14ac:dyDescent="0.3">
      <c r="A39" s="124" t="s">
        <v>279</v>
      </c>
      <c r="B39" s="124"/>
      <c r="C39" s="124" t="s">
        <v>281</v>
      </c>
      <c r="D39" s="124"/>
      <c r="E39" s="124">
        <v>0.05</v>
      </c>
      <c r="F39" s="124"/>
      <c r="G39" s="124">
        <v>7.0000000000000007E-2</v>
      </c>
      <c r="H39" s="124"/>
    </row>
    <row r="40" spans="1:10" x14ac:dyDescent="0.3">
      <c r="A40" s="124" t="s">
        <v>280</v>
      </c>
      <c r="B40" s="124"/>
      <c r="C40" s="124" t="s">
        <v>281</v>
      </c>
      <c r="D40" s="124"/>
      <c r="E40" s="124">
        <v>0.05</v>
      </c>
      <c r="F40" s="124"/>
      <c r="G40" s="124">
        <v>7.0000000000000007E-2</v>
      </c>
      <c r="H40" s="124"/>
    </row>
  </sheetData>
  <mergeCells count="91">
    <mergeCell ref="J18:L18"/>
    <mergeCell ref="Z4:AA4"/>
    <mergeCell ref="Z9:AA9"/>
    <mergeCell ref="X7:Y7"/>
    <mergeCell ref="X8:Y8"/>
    <mergeCell ref="X9:Y9"/>
    <mergeCell ref="Z8:AA8"/>
    <mergeCell ref="Z7:AA7"/>
    <mergeCell ref="T6:W6"/>
    <mergeCell ref="X6:Y6"/>
    <mergeCell ref="J14:L14"/>
    <mergeCell ref="Z6:AA6"/>
    <mergeCell ref="Z11:AA11"/>
    <mergeCell ref="Z10:AA10"/>
    <mergeCell ref="X10:Y10"/>
    <mergeCell ref="J13:L13"/>
    <mergeCell ref="Z3:AA3"/>
    <mergeCell ref="T3:W3"/>
    <mergeCell ref="T4:W4"/>
    <mergeCell ref="T5:W5"/>
    <mergeCell ref="X4:Y4"/>
    <mergeCell ref="X5:Y5"/>
    <mergeCell ref="X3:Y3"/>
    <mergeCell ref="Z5:AA5"/>
    <mergeCell ref="J11:L11"/>
    <mergeCell ref="J12:L12"/>
    <mergeCell ref="X11:Y11"/>
    <mergeCell ref="T8:W8"/>
    <mergeCell ref="T9:W9"/>
    <mergeCell ref="T10:W10"/>
    <mergeCell ref="T11:W11"/>
    <mergeCell ref="J8:N8"/>
    <mergeCell ref="A22:D22"/>
    <mergeCell ref="J6:L6"/>
    <mergeCell ref="J9:L9"/>
    <mergeCell ref="A32:B32"/>
    <mergeCell ref="J10:L10"/>
    <mergeCell ref="J23:L23"/>
    <mergeCell ref="J22:L22"/>
    <mergeCell ref="J21:L21"/>
    <mergeCell ref="A6:D6"/>
    <mergeCell ref="A9:D9"/>
    <mergeCell ref="A10:D10"/>
    <mergeCell ref="A21:D21"/>
    <mergeCell ref="J15:L15"/>
    <mergeCell ref="J16:L16"/>
    <mergeCell ref="J17:L17"/>
    <mergeCell ref="J19:L19"/>
    <mergeCell ref="A8:D8"/>
    <mergeCell ref="A7:D7"/>
    <mergeCell ref="J3:N3"/>
    <mergeCell ref="J4:L4"/>
    <mergeCell ref="J5:L5"/>
    <mergeCell ref="T7:W7"/>
    <mergeCell ref="A1:F1"/>
    <mergeCell ref="A2:D2"/>
    <mergeCell ref="A3:D3"/>
    <mergeCell ref="A4:D4"/>
    <mergeCell ref="A5:D5"/>
    <mergeCell ref="A36:B36"/>
    <mergeCell ref="C36:D36"/>
    <mergeCell ref="A37:B37"/>
    <mergeCell ref="A34:B34"/>
    <mergeCell ref="A11:D11"/>
    <mergeCell ref="A12:D12"/>
    <mergeCell ref="A13:D13"/>
    <mergeCell ref="A15:D15"/>
    <mergeCell ref="A14:D14"/>
    <mergeCell ref="A17:D17"/>
    <mergeCell ref="A18:D18"/>
    <mergeCell ref="A16:D16"/>
    <mergeCell ref="A19:D19"/>
    <mergeCell ref="A20:D20"/>
    <mergeCell ref="C37:D37"/>
    <mergeCell ref="A33:B33"/>
    <mergeCell ref="A39:B39"/>
    <mergeCell ref="A40:B40"/>
    <mergeCell ref="A38:B38"/>
    <mergeCell ref="C38:D38"/>
    <mergeCell ref="C39:D39"/>
    <mergeCell ref="C40:D40"/>
    <mergeCell ref="E36:F36"/>
    <mergeCell ref="G36:H36"/>
    <mergeCell ref="E37:F37"/>
    <mergeCell ref="E38:F38"/>
    <mergeCell ref="E39:F39"/>
    <mergeCell ref="E40:F40"/>
    <mergeCell ref="G37:H37"/>
    <mergeCell ref="G38:H38"/>
    <mergeCell ref="G39:H39"/>
    <mergeCell ref="G40:H40"/>
  </mergeCells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1C697-F4FB-4FAD-9F40-0B2C485D61BE}">
  <dimension ref="A2:G43"/>
  <sheetViews>
    <sheetView topLeftCell="A25" workbookViewId="0">
      <selection activeCell="A38" sqref="A38:D38"/>
    </sheetView>
  </sheetViews>
  <sheetFormatPr defaultRowHeight="14.4" x14ac:dyDescent="0.3"/>
  <cols>
    <col min="1" max="20" width="6.77734375" customWidth="1"/>
  </cols>
  <sheetData>
    <row r="2" spans="1:6" x14ac:dyDescent="0.3">
      <c r="A2" s="124" t="s">
        <v>181</v>
      </c>
      <c r="B2" s="124"/>
      <c r="C2" s="124"/>
      <c r="D2" s="124"/>
    </row>
    <row r="3" spans="1:6" x14ac:dyDescent="0.3">
      <c r="A3" s="124" t="s">
        <v>257</v>
      </c>
      <c r="B3" s="124"/>
      <c r="C3" s="124"/>
      <c r="D3" s="124"/>
      <c r="E3">
        <f ca="1">Колесо!E19</f>
        <v>55</v>
      </c>
      <c r="F3" t="s">
        <v>16</v>
      </c>
    </row>
    <row r="4" spans="1:6" x14ac:dyDescent="0.3">
      <c r="A4" s="124" t="s">
        <v>351</v>
      </c>
      <c r="B4" s="124"/>
      <c r="C4" s="124"/>
      <c r="D4" s="124"/>
      <c r="E4">
        <f>Корпус!$E$8</f>
        <v>10.072378298355165</v>
      </c>
      <c r="F4" t="s">
        <v>16</v>
      </c>
    </row>
    <row r="5" spans="1:6" x14ac:dyDescent="0.3">
      <c r="A5" s="124" t="s">
        <v>350</v>
      </c>
      <c r="B5" s="124"/>
      <c r="C5" s="124"/>
      <c r="D5" s="124"/>
      <c r="E5">
        <f ca="1">Вал!$S$18</f>
        <v>20</v>
      </c>
      <c r="F5" t="s">
        <v>16</v>
      </c>
    </row>
    <row r="6" spans="1:6" x14ac:dyDescent="0.3">
      <c r="A6" s="124" t="s">
        <v>352</v>
      </c>
      <c r="B6" s="124"/>
      <c r="C6" s="124"/>
      <c r="D6" s="124"/>
    </row>
    <row r="7" spans="1:6" x14ac:dyDescent="0.3">
      <c r="A7" s="124" t="s">
        <v>201</v>
      </c>
      <c r="B7" s="124"/>
      <c r="C7" s="124"/>
      <c r="D7" s="124"/>
      <c r="E7">
        <f ca="1">E5*2+2+Колесо!E10+E4*2</f>
        <v>119.14475659671032</v>
      </c>
      <c r="F7" t="s">
        <v>16</v>
      </c>
    </row>
    <row r="8" spans="1:6" x14ac:dyDescent="0.3">
      <c r="A8" s="124" t="s">
        <v>285</v>
      </c>
      <c r="B8" s="124"/>
      <c r="C8" s="124"/>
      <c r="D8" s="124"/>
      <c r="E8" s="52">
        <v>1.6</v>
      </c>
      <c r="F8" t="s">
        <v>235</v>
      </c>
    </row>
    <row r="9" spans="1:6" x14ac:dyDescent="0.3">
      <c r="A9" s="124" t="s">
        <v>349</v>
      </c>
      <c r="B9" s="124"/>
      <c r="C9" s="124"/>
      <c r="D9" s="124"/>
      <c r="E9" s="52" t="str">
        <f>Материалы!A7</f>
        <v>40Х</v>
      </c>
    </row>
    <row r="10" spans="1:6" x14ac:dyDescent="0.3">
      <c r="A10" s="124" t="s">
        <v>374</v>
      </c>
      <c r="B10" s="124"/>
      <c r="C10" s="124"/>
      <c r="D10" s="124"/>
      <c r="E10">
        <f>VLOOKUP($E$9, Материалы!A:L,8,FALSE)</f>
        <v>640</v>
      </c>
    </row>
    <row r="11" spans="1:6" x14ac:dyDescent="0.3">
      <c r="A11" s="124" t="s">
        <v>375</v>
      </c>
      <c r="B11" s="124"/>
      <c r="C11" s="124"/>
      <c r="D11" s="124"/>
      <c r="E11">
        <f>VLOOKUP($E$9, Материалы!A:L,8,FALSE)</f>
        <v>640</v>
      </c>
    </row>
    <row r="24" spans="1:6" x14ac:dyDescent="0.3">
      <c r="A24" s="124" t="s">
        <v>28</v>
      </c>
      <c r="B24" s="124"/>
      <c r="C24" s="124"/>
      <c r="D24" s="124"/>
    </row>
    <row r="25" spans="1:6" x14ac:dyDescent="0.3">
      <c r="A25" s="124" t="s">
        <v>365</v>
      </c>
      <c r="B25" s="124"/>
      <c r="C25" s="124"/>
      <c r="D25" s="124"/>
      <c r="E25">
        <v>1.4</v>
      </c>
      <c r="F25" t="s">
        <v>366</v>
      </c>
    </row>
    <row r="26" spans="1:6" x14ac:dyDescent="0.3">
      <c r="A26" s="124" t="s">
        <v>367</v>
      </c>
      <c r="B26" s="124"/>
      <c r="C26" s="124"/>
      <c r="D26" s="124"/>
      <c r="E26" t="s">
        <v>368</v>
      </c>
    </row>
    <row r="28" spans="1:6" x14ac:dyDescent="0.3">
      <c r="A28" s="124" t="s">
        <v>369</v>
      </c>
      <c r="B28" s="124"/>
      <c r="C28" s="124"/>
      <c r="D28" s="124"/>
    </row>
    <row r="29" spans="1:6" x14ac:dyDescent="0.3">
      <c r="A29" s="124" t="s">
        <v>166</v>
      </c>
      <c r="B29" s="124"/>
      <c r="C29" s="124"/>
      <c r="D29" s="124"/>
      <c r="E29">
        <f ca="1">Электродвигатель!$P$56</f>
        <v>342.7992963881365</v>
      </c>
      <c r="F29" t="s">
        <v>99</v>
      </c>
    </row>
    <row r="30" spans="1:6" x14ac:dyDescent="0.3">
      <c r="A30" s="124" t="s">
        <v>118</v>
      </c>
      <c r="B30" s="124"/>
      <c r="C30" s="124"/>
      <c r="D30" s="124"/>
      <c r="E30">
        <f ca="1">Вал!S12</f>
        <v>40</v>
      </c>
      <c r="F30" t="s">
        <v>16</v>
      </c>
    </row>
    <row r="31" spans="1:6" x14ac:dyDescent="0.3">
      <c r="A31" s="124" t="s">
        <v>377</v>
      </c>
      <c r="B31" s="124"/>
      <c r="C31" s="124"/>
      <c r="D31" s="124"/>
      <c r="E31" s="124"/>
      <c r="F31" s="124"/>
    </row>
    <row r="32" spans="1:6" x14ac:dyDescent="0.3">
      <c r="A32" s="124" t="s">
        <v>370</v>
      </c>
      <c r="B32" s="124"/>
      <c r="C32" s="124"/>
      <c r="D32" s="124"/>
      <c r="E32" s="52">
        <v>12</v>
      </c>
      <c r="F32" t="s">
        <v>16</v>
      </c>
    </row>
    <row r="33" spans="1:7" x14ac:dyDescent="0.3">
      <c r="A33" s="124" t="s">
        <v>371</v>
      </c>
      <c r="B33" s="124"/>
      <c r="C33" s="124"/>
      <c r="D33" s="124"/>
      <c r="E33" s="52">
        <v>8</v>
      </c>
      <c r="F33" t="s">
        <v>16</v>
      </c>
    </row>
    <row r="34" spans="1:7" x14ac:dyDescent="0.3">
      <c r="A34" s="124" t="s">
        <v>373</v>
      </c>
      <c r="B34" s="124"/>
      <c r="C34" s="124"/>
      <c r="D34" s="124"/>
      <c r="E34" s="52">
        <v>5</v>
      </c>
      <c r="F34" t="s">
        <v>16</v>
      </c>
    </row>
    <row r="35" spans="1:7" x14ac:dyDescent="0.3">
      <c r="A35" s="124" t="s">
        <v>206</v>
      </c>
      <c r="B35" s="124"/>
      <c r="C35" s="124"/>
      <c r="D35" s="124"/>
      <c r="E35" s="52">
        <v>0.5</v>
      </c>
      <c r="F35" t="s">
        <v>16</v>
      </c>
    </row>
    <row r="36" spans="1:7" x14ac:dyDescent="0.3">
      <c r="A36" s="124" t="s">
        <v>372</v>
      </c>
      <c r="B36" s="124"/>
      <c r="C36" s="124"/>
      <c r="D36" s="124"/>
      <c r="E36" s="52">
        <v>3.3</v>
      </c>
      <c r="F36" t="s">
        <v>16</v>
      </c>
    </row>
    <row r="37" spans="1:7" x14ac:dyDescent="0.3">
      <c r="A37" s="48"/>
      <c r="B37" s="48"/>
      <c r="C37" s="48"/>
      <c r="D37" s="48"/>
    </row>
    <row r="38" spans="1:7" x14ac:dyDescent="0.3">
      <c r="A38" s="124" t="s">
        <v>381</v>
      </c>
      <c r="B38" s="124"/>
      <c r="C38" s="124"/>
      <c r="D38" s="124"/>
      <c r="E38">
        <f>MIN(E34,E33-E34)</f>
        <v>3</v>
      </c>
      <c r="F38" t="s">
        <v>16</v>
      </c>
    </row>
    <row r="39" spans="1:7" x14ac:dyDescent="0.3">
      <c r="A39" s="124" t="s">
        <v>376</v>
      </c>
      <c r="B39" s="124"/>
      <c r="C39" s="124"/>
      <c r="D39" s="124"/>
      <c r="E39" s="52">
        <v>110</v>
      </c>
      <c r="F39" t="s">
        <v>378</v>
      </c>
      <c r="G39" t="s">
        <v>100</v>
      </c>
    </row>
    <row r="40" spans="1:7" x14ac:dyDescent="0.3">
      <c r="A40" s="124" t="s">
        <v>379</v>
      </c>
      <c r="B40" s="124"/>
      <c r="C40" s="124"/>
      <c r="D40" s="124"/>
      <c r="E40">
        <f ca="1">E29*2*1000/E30/E39/E38</f>
        <v>51.939287331535837</v>
      </c>
      <c r="F40" t="s">
        <v>16</v>
      </c>
    </row>
    <row r="41" spans="1:7" x14ac:dyDescent="0.3">
      <c r="A41" s="124" t="s">
        <v>201</v>
      </c>
      <c r="B41" s="124"/>
      <c r="C41" s="124"/>
      <c r="D41" s="124"/>
      <c r="E41">
        <f ca="1">E40+E32</f>
        <v>63.939287331535837</v>
      </c>
      <c r="F41" t="s">
        <v>16</v>
      </c>
    </row>
    <row r="42" spans="1:7" x14ac:dyDescent="0.3">
      <c r="A42" s="48"/>
      <c r="B42" s="48"/>
      <c r="C42" s="48"/>
      <c r="D42" s="48"/>
    </row>
    <row r="43" spans="1:7" x14ac:dyDescent="0.3">
      <c r="A43" s="48"/>
      <c r="B43" s="48"/>
      <c r="C43" s="48"/>
      <c r="D43" s="48"/>
    </row>
  </sheetData>
  <mergeCells count="26">
    <mergeCell ref="A31:F31"/>
    <mergeCell ref="A41:D41"/>
    <mergeCell ref="A38:D38"/>
    <mergeCell ref="A39:D39"/>
    <mergeCell ref="A40:D40"/>
    <mergeCell ref="A2:D2"/>
    <mergeCell ref="A24:D24"/>
    <mergeCell ref="A25:D25"/>
    <mergeCell ref="A26:D26"/>
    <mergeCell ref="A28:D28"/>
    <mergeCell ref="A8:D8"/>
    <mergeCell ref="A3:D3"/>
    <mergeCell ref="A7:D7"/>
    <mergeCell ref="A5:D5"/>
    <mergeCell ref="A4:D4"/>
    <mergeCell ref="A6:D6"/>
    <mergeCell ref="A35:D35"/>
    <mergeCell ref="A36:D36"/>
    <mergeCell ref="A9:D9"/>
    <mergeCell ref="A10:D10"/>
    <mergeCell ref="A11:D11"/>
    <mergeCell ref="A29:D29"/>
    <mergeCell ref="A30:D30"/>
    <mergeCell ref="A32:D32"/>
    <mergeCell ref="A34:D34"/>
    <mergeCell ref="A33:D3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C16526-A479-4083-A8A6-C1DA4D6AD8E8}">
  <dimension ref="A6:F19"/>
  <sheetViews>
    <sheetView workbookViewId="0">
      <selection activeCell="H18" sqref="H18"/>
    </sheetView>
  </sheetViews>
  <sheetFormatPr defaultRowHeight="14.4" x14ac:dyDescent="0.3"/>
  <cols>
    <col min="1" max="14" width="6.77734375" customWidth="1"/>
  </cols>
  <sheetData>
    <row r="6" spans="1:6" x14ac:dyDescent="0.3">
      <c r="A6" s="124" t="s">
        <v>369</v>
      </c>
      <c r="B6" s="124"/>
      <c r="C6" s="124"/>
      <c r="D6" s="124"/>
    </row>
    <row r="7" spans="1:6" x14ac:dyDescent="0.3">
      <c r="A7" s="124" t="s">
        <v>166</v>
      </c>
      <c r="B7" s="124"/>
      <c r="C7" s="124"/>
      <c r="D7" s="124"/>
      <c r="E7" s="61">
        <f>Электродвигатель!$P$53</f>
        <v>48.741201321892952</v>
      </c>
      <c r="F7" t="s">
        <v>99</v>
      </c>
    </row>
    <row r="8" spans="1:6" x14ac:dyDescent="0.3">
      <c r="A8" s="124" t="s">
        <v>118</v>
      </c>
      <c r="B8" s="124"/>
      <c r="C8" s="124"/>
      <c r="D8" s="124"/>
      <c r="E8">
        <f>Вал!K13</f>
        <v>32</v>
      </c>
      <c r="F8" t="s">
        <v>16</v>
      </c>
    </row>
    <row r="9" spans="1:6" x14ac:dyDescent="0.3">
      <c r="A9" s="124" t="s">
        <v>377</v>
      </c>
      <c r="B9" s="124"/>
      <c r="C9" s="124"/>
      <c r="D9" s="124"/>
      <c r="E9" s="124"/>
      <c r="F9" s="124"/>
    </row>
    <row r="10" spans="1:6" x14ac:dyDescent="0.3">
      <c r="A10" s="124" t="s">
        <v>370</v>
      </c>
      <c r="B10" s="124"/>
      <c r="C10" s="124"/>
      <c r="D10" s="124"/>
      <c r="E10" s="52">
        <v>10</v>
      </c>
      <c r="F10" t="s">
        <v>16</v>
      </c>
    </row>
    <row r="11" spans="1:6" x14ac:dyDescent="0.3">
      <c r="A11" s="124" t="s">
        <v>371</v>
      </c>
      <c r="B11" s="124"/>
      <c r="C11" s="124"/>
      <c r="D11" s="124"/>
      <c r="E11" s="52">
        <v>8</v>
      </c>
      <c r="F11" t="s">
        <v>16</v>
      </c>
    </row>
    <row r="12" spans="1:6" x14ac:dyDescent="0.3">
      <c r="A12" s="124" t="s">
        <v>373</v>
      </c>
      <c r="B12" s="124"/>
      <c r="C12" s="124"/>
      <c r="D12" s="124"/>
      <c r="E12" s="52">
        <v>5</v>
      </c>
      <c r="F12" t="s">
        <v>16</v>
      </c>
    </row>
    <row r="13" spans="1:6" x14ac:dyDescent="0.3">
      <c r="A13" s="124" t="s">
        <v>206</v>
      </c>
      <c r="B13" s="124"/>
      <c r="C13" s="124"/>
      <c r="D13" s="124"/>
      <c r="E13" s="52">
        <v>0.5</v>
      </c>
      <c r="F13" t="s">
        <v>16</v>
      </c>
    </row>
    <row r="14" spans="1:6" x14ac:dyDescent="0.3">
      <c r="A14" s="124" t="s">
        <v>372</v>
      </c>
      <c r="B14" s="124"/>
      <c r="C14" s="124"/>
      <c r="D14" s="124"/>
      <c r="E14" s="52">
        <v>3.3</v>
      </c>
      <c r="F14" t="s">
        <v>16</v>
      </c>
    </row>
    <row r="15" spans="1:6" x14ac:dyDescent="0.3">
      <c r="A15" s="48"/>
      <c r="B15" s="48"/>
      <c r="C15" s="48"/>
      <c r="D15" s="48"/>
    </row>
    <row r="16" spans="1:6" x14ac:dyDescent="0.3">
      <c r="A16" s="124" t="s">
        <v>380</v>
      </c>
      <c r="B16" s="124"/>
      <c r="C16" s="124"/>
      <c r="D16" s="124"/>
      <c r="E16">
        <f>MIN(E12,E11-E12)</f>
        <v>3</v>
      </c>
      <c r="F16" t="s">
        <v>16</v>
      </c>
    </row>
    <row r="17" spans="1:6" x14ac:dyDescent="0.3">
      <c r="A17" s="124" t="s">
        <v>376</v>
      </c>
      <c r="B17" s="124"/>
      <c r="C17" s="124"/>
      <c r="D17" s="124"/>
      <c r="E17" s="90">
        <f>'тихоходный вал'!E39</f>
        <v>110</v>
      </c>
      <c r="F17" t="s">
        <v>378</v>
      </c>
    </row>
    <row r="18" spans="1:6" x14ac:dyDescent="0.3">
      <c r="A18" s="124" t="s">
        <v>379</v>
      </c>
      <c r="B18" s="124"/>
      <c r="C18" s="124"/>
      <c r="D18" s="124"/>
      <c r="E18">
        <f>E7*2*1000/E8/E17/E16</f>
        <v>9.2312881291463924</v>
      </c>
      <c r="F18" t="s">
        <v>16</v>
      </c>
    </row>
    <row r="19" spans="1:6" x14ac:dyDescent="0.3">
      <c r="A19" s="124" t="s">
        <v>201</v>
      </c>
      <c r="B19" s="124"/>
      <c r="C19" s="124"/>
      <c r="D19" s="124"/>
      <c r="E19">
        <f>E18+E10</f>
        <v>19.231288129146392</v>
      </c>
      <c r="F19" t="s">
        <v>16</v>
      </c>
    </row>
  </sheetData>
  <mergeCells count="13">
    <mergeCell ref="A16:D16"/>
    <mergeCell ref="A17:D17"/>
    <mergeCell ref="A18:D18"/>
    <mergeCell ref="A19:D19"/>
    <mergeCell ref="A6:D6"/>
    <mergeCell ref="A7:D7"/>
    <mergeCell ref="A8:D8"/>
    <mergeCell ref="A9:F9"/>
    <mergeCell ref="A10:D10"/>
    <mergeCell ref="A11:D11"/>
    <mergeCell ref="A12:D12"/>
    <mergeCell ref="A13:D13"/>
    <mergeCell ref="A14:D14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80B891-BABE-48BC-B741-A9DC893B6424}">
  <dimension ref="A2:W23"/>
  <sheetViews>
    <sheetView workbookViewId="0">
      <selection activeCell="G19" sqref="G19"/>
    </sheetView>
  </sheetViews>
  <sheetFormatPr defaultRowHeight="14.4" x14ac:dyDescent="0.3"/>
  <cols>
    <col min="1" max="12" width="6.77734375" customWidth="1"/>
  </cols>
  <sheetData>
    <row r="2" spans="1:6" x14ac:dyDescent="0.3">
      <c r="A2" s="124" t="s">
        <v>140</v>
      </c>
      <c r="B2" s="124"/>
      <c r="C2" s="124"/>
      <c r="D2" s="124"/>
      <c r="E2">
        <f>Передача!$D$46</f>
        <v>180</v>
      </c>
      <c r="F2" t="s">
        <v>16</v>
      </c>
    </row>
    <row r="3" spans="1:6" x14ac:dyDescent="0.3">
      <c r="A3" s="124" t="s">
        <v>196</v>
      </c>
      <c r="B3" s="124"/>
      <c r="C3" s="124"/>
      <c r="D3" s="124"/>
      <c r="E3">
        <f>Передача!$D$55</f>
        <v>37.75</v>
      </c>
      <c r="F3" t="s">
        <v>16</v>
      </c>
    </row>
    <row r="4" spans="1:6" x14ac:dyDescent="0.3">
      <c r="A4" s="124" t="s">
        <v>171</v>
      </c>
      <c r="B4" s="124"/>
      <c r="C4" s="124"/>
      <c r="D4" s="124"/>
      <c r="E4">
        <f>Передача!$D$56</f>
        <v>62</v>
      </c>
      <c r="F4" t="s">
        <v>16</v>
      </c>
    </row>
    <row r="5" spans="1:6" x14ac:dyDescent="0.3">
      <c r="A5" s="124" t="s">
        <v>197</v>
      </c>
      <c r="B5" s="124"/>
      <c r="C5" s="124"/>
      <c r="D5" s="124"/>
      <c r="E5">
        <f>Передача!$D$60</f>
        <v>309.75</v>
      </c>
      <c r="F5" t="s">
        <v>16</v>
      </c>
    </row>
    <row r="6" spans="1:6" x14ac:dyDescent="0.3">
      <c r="A6" s="124" t="s">
        <v>172</v>
      </c>
      <c r="B6" s="124"/>
      <c r="C6" s="124"/>
      <c r="D6" s="124"/>
      <c r="E6">
        <f>Передача!$D$61</f>
        <v>57</v>
      </c>
      <c r="F6" t="s">
        <v>16</v>
      </c>
    </row>
    <row r="7" spans="1:6" x14ac:dyDescent="0.3">
      <c r="A7" s="124" t="s">
        <v>195</v>
      </c>
      <c r="B7" s="124"/>
      <c r="C7" s="124"/>
      <c r="D7" s="124"/>
      <c r="E7">
        <f>E2+E3/2+E5/2</f>
        <v>353.75</v>
      </c>
      <c r="F7" t="s">
        <v>16</v>
      </c>
    </row>
    <row r="8" spans="1:6" x14ac:dyDescent="0.3">
      <c r="A8" s="124" t="s">
        <v>194</v>
      </c>
      <c r="B8" s="124"/>
      <c r="C8" s="124"/>
      <c r="D8" s="124"/>
      <c r="E8">
        <f>E7^(1/3)+3</f>
        <v>10.072378298355165</v>
      </c>
      <c r="F8" t="s">
        <v>16</v>
      </c>
    </row>
    <row r="9" spans="1:6" x14ac:dyDescent="0.3">
      <c r="A9" s="124" t="s">
        <v>198</v>
      </c>
      <c r="B9" s="124"/>
      <c r="C9" s="124"/>
      <c r="D9" s="124"/>
      <c r="E9">
        <f>E8*3</f>
        <v>30.217134895065495</v>
      </c>
      <c r="F9" t="s">
        <v>16</v>
      </c>
    </row>
    <row r="10" spans="1:6" x14ac:dyDescent="0.3">
      <c r="A10" s="124" t="s">
        <v>199</v>
      </c>
      <c r="B10" s="124"/>
      <c r="C10" s="124"/>
      <c r="D10" s="124"/>
      <c r="E10" s="52">
        <v>4</v>
      </c>
      <c r="F10" t="s">
        <v>16</v>
      </c>
    </row>
    <row r="11" spans="1:6" x14ac:dyDescent="0.3">
      <c r="A11" s="124" t="s">
        <v>200</v>
      </c>
      <c r="B11" s="124"/>
      <c r="C11" s="124"/>
      <c r="D11" s="124"/>
      <c r="E11" s="52">
        <v>20</v>
      </c>
      <c r="F11" t="s">
        <v>16</v>
      </c>
    </row>
    <row r="12" spans="1:6" x14ac:dyDescent="0.3">
      <c r="A12" s="124" t="s">
        <v>202</v>
      </c>
      <c r="B12" s="124"/>
      <c r="C12" s="124"/>
      <c r="D12" s="124"/>
      <c r="E12" s="124"/>
      <c r="F12" s="124"/>
    </row>
    <row r="13" spans="1:6" x14ac:dyDescent="0.3">
      <c r="A13" s="124" t="s">
        <v>201</v>
      </c>
      <c r="B13" s="124"/>
      <c r="C13" s="124"/>
      <c r="D13" s="124"/>
      <c r="E13">
        <f>E7+2*E8+E10*2+E11*2</f>
        <v>421.89475659671035</v>
      </c>
      <c r="F13" t="s">
        <v>16</v>
      </c>
    </row>
    <row r="14" spans="1:6" x14ac:dyDescent="0.3">
      <c r="A14" s="124" t="s">
        <v>159</v>
      </c>
      <c r="B14" s="124"/>
      <c r="C14" s="124"/>
      <c r="D14" s="124"/>
      <c r="E14">
        <f>E4+2*E8+2*E10</f>
        <v>90.144756596710323</v>
      </c>
      <c r="F14" t="s">
        <v>16</v>
      </c>
    </row>
    <row r="15" spans="1:6" x14ac:dyDescent="0.3">
      <c r="A15" s="124" t="s">
        <v>19</v>
      </c>
      <c r="B15" s="124"/>
      <c r="C15" s="124"/>
      <c r="D15" s="124"/>
      <c r="E15">
        <f>E5+E8+E9+2*E10</f>
        <v>358.03951319342065</v>
      </c>
      <c r="F15" t="s">
        <v>16</v>
      </c>
    </row>
    <row r="17" spans="1:23" x14ac:dyDescent="0.3">
      <c r="A17" s="124" t="s">
        <v>322</v>
      </c>
      <c r="B17" s="124"/>
      <c r="C17" s="124"/>
      <c r="D17" s="124"/>
      <c r="E17" s="124"/>
      <c r="F17" s="124"/>
    </row>
    <row r="18" spans="1:23" x14ac:dyDescent="0.3">
      <c r="A18" s="124" t="s">
        <v>318</v>
      </c>
      <c r="B18" s="124"/>
      <c r="C18" s="124"/>
      <c r="D18" s="124"/>
      <c r="E18">
        <f>Вал!$K$4*PI()/30</f>
        <v>150.79644737231007</v>
      </c>
      <c r="F18" t="s">
        <v>317</v>
      </c>
    </row>
    <row r="19" spans="1:23" x14ac:dyDescent="0.3">
      <c r="A19" s="124" t="s">
        <v>319</v>
      </c>
      <c r="B19" s="124"/>
      <c r="C19" s="124"/>
      <c r="D19" s="124"/>
      <c r="E19">
        <f>Корпус!$E$18*MAX(Вал!$K$21,Вал!$K$7)/1000</f>
        <v>7.3890259212431939</v>
      </c>
      <c r="F19" t="s">
        <v>5</v>
      </c>
    </row>
    <row r="20" spans="1:23" x14ac:dyDescent="0.3">
      <c r="A20" s="124" t="s">
        <v>323</v>
      </c>
      <c r="B20" s="124"/>
      <c r="C20" s="124"/>
      <c r="D20" s="124"/>
      <c r="E20" s="52">
        <v>504</v>
      </c>
      <c r="F20" t="s">
        <v>226</v>
      </c>
      <c r="R20" s="1"/>
      <c r="S20" s="92"/>
      <c r="T20" s="48"/>
      <c r="U20" s="48"/>
      <c r="V20" s="16"/>
      <c r="W20" s="16"/>
    </row>
    <row r="21" spans="1:23" x14ac:dyDescent="0.3">
      <c r="A21" s="124" t="s">
        <v>325</v>
      </c>
      <c r="B21" s="124"/>
      <c r="C21" s="124"/>
      <c r="D21" s="124"/>
      <c r="E21" s="52"/>
      <c r="F21" t="s">
        <v>324</v>
      </c>
      <c r="R21" s="67"/>
      <c r="S21" s="67"/>
      <c r="T21" s="16"/>
      <c r="U21" s="16"/>
      <c r="V21" s="16"/>
      <c r="W21" s="16"/>
    </row>
    <row r="22" spans="1:23" x14ac:dyDescent="0.3">
      <c r="A22" s="124" t="s">
        <v>326</v>
      </c>
      <c r="B22" s="124"/>
      <c r="C22" s="124"/>
      <c r="D22" s="124"/>
      <c r="E22" t="s">
        <v>327</v>
      </c>
      <c r="R22" s="67"/>
      <c r="S22" s="67"/>
      <c r="T22" s="16"/>
      <c r="U22" s="16"/>
      <c r="V22" s="63"/>
      <c r="W22" s="63"/>
    </row>
    <row r="23" spans="1:23" x14ac:dyDescent="0.3">
      <c r="A23" s="124" t="s">
        <v>328</v>
      </c>
      <c r="B23" s="124"/>
      <c r="C23" s="124"/>
      <c r="D23" s="124"/>
      <c r="E23">
        <f>MAX(4*Передача!$D$47,10)</f>
        <v>10</v>
      </c>
      <c r="F23">
        <f>MAX(Передача!$D$58/4,10)</f>
        <v>79.375</v>
      </c>
      <c r="G23" t="s">
        <v>16</v>
      </c>
    </row>
  </sheetData>
  <mergeCells count="21">
    <mergeCell ref="A13:D13"/>
    <mergeCell ref="A11:D11"/>
    <mergeCell ref="A14:D14"/>
    <mergeCell ref="A15:D15"/>
    <mergeCell ref="A9:D9"/>
    <mergeCell ref="A10:D10"/>
    <mergeCell ref="A4:D4"/>
    <mergeCell ref="A6:D6"/>
    <mergeCell ref="A12:F12"/>
    <mergeCell ref="A2:D2"/>
    <mergeCell ref="A8:D8"/>
    <mergeCell ref="A7:D7"/>
    <mergeCell ref="A5:D5"/>
    <mergeCell ref="A3:D3"/>
    <mergeCell ref="A23:D23"/>
    <mergeCell ref="A18:D18"/>
    <mergeCell ref="A19:D19"/>
    <mergeCell ref="A17:F17"/>
    <mergeCell ref="A20:D20"/>
    <mergeCell ref="A21:D21"/>
    <mergeCell ref="A22:D22"/>
  </mergeCells>
  <pageMargins left="0.7" right="0.7" top="0.75" bottom="0.75" header="0.3" footer="0.3"/>
  <pageSetup orientation="portrait" horizontalDpi="1200" verticalDpi="120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564D3-007A-4908-B584-B11BCC9DA655}">
  <dimension ref="A1:E80"/>
  <sheetViews>
    <sheetView tabSelected="1" topLeftCell="A61" workbookViewId="0">
      <selection activeCell="A67" sqref="A67:A68"/>
    </sheetView>
  </sheetViews>
  <sheetFormatPr defaultRowHeight="14.4" x14ac:dyDescent="0.3"/>
  <sheetData>
    <row r="1" spans="1:4" x14ac:dyDescent="0.3">
      <c r="A1" s="124">
        <v>1</v>
      </c>
      <c r="B1">
        <v>1</v>
      </c>
      <c r="D1" s="48"/>
    </row>
    <row r="2" spans="1:4" x14ac:dyDescent="0.3">
      <c r="A2" s="124"/>
      <c r="B2">
        <v>1.05</v>
      </c>
      <c r="D2" s="48"/>
    </row>
    <row r="3" spans="1:4" x14ac:dyDescent="0.3">
      <c r="A3" s="124">
        <v>1.1000000000000001</v>
      </c>
      <c r="B3">
        <v>1.1000000000000001</v>
      </c>
      <c r="D3" s="48"/>
    </row>
    <row r="4" spans="1:4" x14ac:dyDescent="0.3">
      <c r="A4" s="124"/>
      <c r="B4">
        <v>1.1499999999999999</v>
      </c>
      <c r="D4" s="48"/>
    </row>
    <row r="5" spans="1:4" x14ac:dyDescent="0.3">
      <c r="A5" s="124">
        <v>1.2</v>
      </c>
      <c r="B5">
        <v>1.2</v>
      </c>
      <c r="D5" s="48"/>
    </row>
    <row r="6" spans="1:4" x14ac:dyDescent="0.3">
      <c r="A6" s="124"/>
      <c r="B6">
        <v>1.3</v>
      </c>
      <c r="D6" s="48"/>
    </row>
    <row r="7" spans="1:4" x14ac:dyDescent="0.3">
      <c r="A7" s="124">
        <v>1.4</v>
      </c>
      <c r="B7">
        <v>1.4</v>
      </c>
      <c r="D7" s="48"/>
    </row>
    <row r="8" spans="1:4" x14ac:dyDescent="0.3">
      <c r="A8" s="124"/>
      <c r="B8">
        <v>1.5</v>
      </c>
      <c r="D8" s="48"/>
    </row>
    <row r="9" spans="1:4" x14ac:dyDescent="0.3">
      <c r="A9" s="124">
        <v>1.6</v>
      </c>
      <c r="B9">
        <v>1.6</v>
      </c>
      <c r="D9" s="48"/>
    </row>
    <row r="10" spans="1:4" x14ac:dyDescent="0.3">
      <c r="A10" s="124"/>
      <c r="B10">
        <v>1.7</v>
      </c>
      <c r="D10" s="48"/>
    </row>
    <row r="11" spans="1:4" x14ac:dyDescent="0.3">
      <c r="A11" s="124">
        <v>1.8</v>
      </c>
      <c r="B11">
        <v>1.8</v>
      </c>
      <c r="D11" s="48"/>
    </row>
    <row r="12" spans="1:4" x14ac:dyDescent="0.3">
      <c r="A12" s="124"/>
      <c r="B12">
        <v>1.9</v>
      </c>
      <c r="D12" s="48"/>
    </row>
    <row r="13" spans="1:4" x14ac:dyDescent="0.3">
      <c r="A13" s="124">
        <v>2</v>
      </c>
      <c r="B13">
        <v>2</v>
      </c>
      <c r="D13" s="48"/>
    </row>
    <row r="14" spans="1:4" x14ac:dyDescent="0.3">
      <c r="A14" s="124"/>
      <c r="B14">
        <v>2.1</v>
      </c>
      <c r="D14" s="48"/>
    </row>
    <row r="15" spans="1:4" x14ac:dyDescent="0.3">
      <c r="A15" s="124">
        <v>2.2000000000000002</v>
      </c>
      <c r="B15">
        <v>2.2000000000000002</v>
      </c>
      <c r="D15" s="48"/>
    </row>
    <row r="16" spans="1:4" x14ac:dyDescent="0.3">
      <c r="A16" s="124"/>
      <c r="B16">
        <v>2.4</v>
      </c>
      <c r="D16" s="48"/>
    </row>
    <row r="17" spans="1:4" x14ac:dyDescent="0.3">
      <c r="A17" s="124">
        <v>2.5</v>
      </c>
      <c r="B17">
        <v>2.5</v>
      </c>
      <c r="D17" s="48"/>
    </row>
    <row r="18" spans="1:4" x14ac:dyDescent="0.3">
      <c r="A18" s="124"/>
      <c r="B18">
        <v>2.6</v>
      </c>
      <c r="D18" s="48"/>
    </row>
    <row r="19" spans="1:4" x14ac:dyDescent="0.3">
      <c r="A19" s="124">
        <v>2.8</v>
      </c>
      <c r="B19">
        <v>2.8</v>
      </c>
      <c r="D19" s="48"/>
    </row>
    <row r="20" spans="1:4" x14ac:dyDescent="0.3">
      <c r="A20" s="124"/>
      <c r="B20">
        <v>3</v>
      </c>
      <c r="D20" s="48"/>
    </row>
    <row r="21" spans="1:4" x14ac:dyDescent="0.3">
      <c r="A21" s="124">
        <v>3.2</v>
      </c>
      <c r="B21">
        <v>3.2</v>
      </c>
      <c r="D21" s="48"/>
    </row>
    <row r="22" spans="1:4" x14ac:dyDescent="0.3">
      <c r="A22" s="124"/>
      <c r="B22">
        <v>3.4</v>
      </c>
      <c r="D22" s="48"/>
    </row>
    <row r="23" spans="1:4" x14ac:dyDescent="0.3">
      <c r="A23" s="124">
        <v>3.6</v>
      </c>
      <c r="B23">
        <v>3.6</v>
      </c>
      <c r="D23" s="48"/>
    </row>
    <row r="24" spans="1:4" x14ac:dyDescent="0.3">
      <c r="A24" s="124"/>
      <c r="B24">
        <v>3.8</v>
      </c>
      <c r="D24" s="48"/>
    </row>
    <row r="25" spans="1:4" x14ac:dyDescent="0.3">
      <c r="A25" s="124">
        <v>4</v>
      </c>
      <c r="B25">
        <v>4</v>
      </c>
      <c r="D25" s="48"/>
    </row>
    <row r="26" spans="1:4" x14ac:dyDescent="0.3">
      <c r="A26" s="124"/>
      <c r="B26">
        <v>4.2</v>
      </c>
      <c r="D26" s="48"/>
    </row>
    <row r="27" spans="1:4" x14ac:dyDescent="0.3">
      <c r="A27" s="124">
        <v>4.5</v>
      </c>
      <c r="B27">
        <v>4.5</v>
      </c>
      <c r="D27" s="48"/>
    </row>
    <row r="28" spans="1:4" x14ac:dyDescent="0.3">
      <c r="A28" s="124"/>
      <c r="B28">
        <v>4.8</v>
      </c>
      <c r="D28" s="48"/>
    </row>
    <row r="29" spans="1:4" x14ac:dyDescent="0.3">
      <c r="A29" s="124">
        <v>5</v>
      </c>
      <c r="B29">
        <v>5</v>
      </c>
      <c r="D29" s="48"/>
    </row>
    <row r="30" spans="1:4" x14ac:dyDescent="0.3">
      <c r="A30" s="124"/>
      <c r="B30">
        <v>5.3</v>
      </c>
      <c r="D30" s="48"/>
    </row>
    <row r="31" spans="1:4" x14ac:dyDescent="0.3">
      <c r="A31" s="124">
        <v>5.6</v>
      </c>
      <c r="B31">
        <v>5.6</v>
      </c>
      <c r="D31" s="48"/>
    </row>
    <row r="32" spans="1:4" x14ac:dyDescent="0.3">
      <c r="A32" s="124"/>
      <c r="B32">
        <v>6</v>
      </c>
      <c r="D32" s="48"/>
    </row>
    <row r="33" spans="1:5" x14ac:dyDescent="0.3">
      <c r="A33" s="124">
        <v>6.3</v>
      </c>
      <c r="B33">
        <v>6.3</v>
      </c>
      <c r="D33" s="48"/>
    </row>
    <row r="34" spans="1:5" x14ac:dyDescent="0.3">
      <c r="A34" s="124"/>
      <c r="B34">
        <v>6.7</v>
      </c>
      <c r="D34" s="48"/>
    </row>
    <row r="35" spans="1:5" x14ac:dyDescent="0.3">
      <c r="A35" s="124">
        <v>7.1</v>
      </c>
      <c r="B35">
        <v>7.1</v>
      </c>
      <c r="D35" s="48"/>
    </row>
    <row r="36" spans="1:5" x14ac:dyDescent="0.3">
      <c r="A36" s="124"/>
      <c r="B36">
        <v>7.5</v>
      </c>
      <c r="D36" s="48"/>
    </row>
    <row r="37" spans="1:5" x14ac:dyDescent="0.3">
      <c r="A37" s="124">
        <v>8</v>
      </c>
      <c r="B37">
        <v>8</v>
      </c>
      <c r="D37" s="48"/>
    </row>
    <row r="38" spans="1:5" x14ac:dyDescent="0.3">
      <c r="A38" s="124"/>
      <c r="B38">
        <v>8.5</v>
      </c>
      <c r="D38" s="48"/>
    </row>
    <row r="39" spans="1:5" x14ac:dyDescent="0.3">
      <c r="A39" s="124">
        <v>9</v>
      </c>
      <c r="B39">
        <v>9</v>
      </c>
      <c r="D39" s="48"/>
    </row>
    <row r="40" spans="1:5" x14ac:dyDescent="0.3">
      <c r="A40" s="124"/>
      <c r="B40" s="61">
        <v>9.5</v>
      </c>
      <c r="D40" s="48"/>
      <c r="E40" s="61"/>
    </row>
    <row r="41" spans="1:5" x14ac:dyDescent="0.3">
      <c r="A41" s="124">
        <v>10</v>
      </c>
      <c r="B41" s="48">
        <v>10</v>
      </c>
    </row>
    <row r="42" spans="1:5" x14ac:dyDescent="0.3">
      <c r="A42" s="124"/>
      <c r="B42" s="48">
        <v>10.5</v>
      </c>
    </row>
    <row r="43" spans="1:5" x14ac:dyDescent="0.3">
      <c r="A43" s="124">
        <v>11</v>
      </c>
      <c r="B43" s="48">
        <v>11</v>
      </c>
    </row>
    <row r="44" spans="1:5" x14ac:dyDescent="0.3">
      <c r="A44" s="124"/>
      <c r="B44" s="48">
        <v>11.5</v>
      </c>
    </row>
    <row r="45" spans="1:5" x14ac:dyDescent="0.3">
      <c r="A45" s="124">
        <v>12</v>
      </c>
      <c r="B45" s="48">
        <v>12</v>
      </c>
    </row>
    <row r="46" spans="1:5" x14ac:dyDescent="0.3">
      <c r="A46" s="124"/>
      <c r="B46" s="48">
        <v>13</v>
      </c>
    </row>
    <row r="47" spans="1:5" x14ac:dyDescent="0.3">
      <c r="A47" s="124">
        <v>14</v>
      </c>
      <c r="B47" s="48">
        <v>14</v>
      </c>
    </row>
    <row r="48" spans="1:5" x14ac:dyDescent="0.3">
      <c r="A48" s="124"/>
      <c r="B48" s="48">
        <v>15</v>
      </c>
    </row>
    <row r="49" spans="1:2" x14ac:dyDescent="0.3">
      <c r="A49" s="124">
        <v>16</v>
      </c>
      <c r="B49" s="48">
        <v>16</v>
      </c>
    </row>
    <row r="50" spans="1:2" x14ac:dyDescent="0.3">
      <c r="A50" s="124"/>
      <c r="B50" s="48">
        <v>17</v>
      </c>
    </row>
    <row r="51" spans="1:2" x14ac:dyDescent="0.3">
      <c r="A51" s="124">
        <v>18</v>
      </c>
      <c r="B51" s="48">
        <v>18</v>
      </c>
    </row>
    <row r="52" spans="1:2" x14ac:dyDescent="0.3">
      <c r="A52" s="124"/>
      <c r="B52" s="48">
        <v>19</v>
      </c>
    </row>
    <row r="53" spans="1:2" x14ac:dyDescent="0.3">
      <c r="A53" s="124">
        <v>20</v>
      </c>
      <c r="B53" s="48">
        <v>20</v>
      </c>
    </row>
    <row r="54" spans="1:2" x14ac:dyDescent="0.3">
      <c r="A54" s="124"/>
      <c r="B54" s="48">
        <v>21</v>
      </c>
    </row>
    <row r="55" spans="1:2" x14ac:dyDescent="0.3">
      <c r="A55" s="124">
        <v>22</v>
      </c>
      <c r="B55" s="48">
        <v>22</v>
      </c>
    </row>
    <row r="56" spans="1:2" x14ac:dyDescent="0.3">
      <c r="A56" s="124"/>
      <c r="B56" s="48">
        <v>24</v>
      </c>
    </row>
    <row r="57" spans="1:2" x14ac:dyDescent="0.3">
      <c r="A57" s="124">
        <v>25</v>
      </c>
      <c r="B57" s="48">
        <v>25</v>
      </c>
    </row>
    <row r="58" spans="1:2" x14ac:dyDescent="0.3">
      <c r="A58" s="124"/>
      <c r="B58" s="48">
        <v>26</v>
      </c>
    </row>
    <row r="59" spans="1:2" x14ac:dyDescent="0.3">
      <c r="A59" s="124">
        <v>28</v>
      </c>
      <c r="B59" s="48">
        <v>28</v>
      </c>
    </row>
    <row r="60" spans="1:2" x14ac:dyDescent="0.3">
      <c r="A60" s="124"/>
      <c r="B60" s="48">
        <v>30</v>
      </c>
    </row>
    <row r="61" spans="1:2" x14ac:dyDescent="0.3">
      <c r="A61" s="124">
        <v>32</v>
      </c>
      <c r="B61" s="48">
        <v>32</v>
      </c>
    </row>
    <row r="62" spans="1:2" x14ac:dyDescent="0.3">
      <c r="A62" s="124"/>
      <c r="B62" s="48">
        <v>34</v>
      </c>
    </row>
    <row r="63" spans="1:2" x14ac:dyDescent="0.3">
      <c r="A63" s="124">
        <v>36</v>
      </c>
      <c r="B63" s="48">
        <v>36</v>
      </c>
    </row>
    <row r="64" spans="1:2" x14ac:dyDescent="0.3">
      <c r="A64" s="124"/>
      <c r="B64" s="48">
        <v>38</v>
      </c>
    </row>
    <row r="65" spans="1:2" x14ac:dyDescent="0.3">
      <c r="A65" s="124">
        <v>40</v>
      </c>
      <c r="B65" s="48">
        <v>40</v>
      </c>
    </row>
    <row r="66" spans="1:2" x14ac:dyDescent="0.3">
      <c r="A66" s="124"/>
      <c r="B66" s="48">
        <v>42</v>
      </c>
    </row>
    <row r="67" spans="1:2" x14ac:dyDescent="0.3">
      <c r="A67" s="124">
        <v>45</v>
      </c>
      <c r="B67" s="48">
        <v>45</v>
      </c>
    </row>
    <row r="68" spans="1:2" x14ac:dyDescent="0.3">
      <c r="A68" s="124"/>
      <c r="B68" s="48">
        <v>48</v>
      </c>
    </row>
    <row r="69" spans="1:2" x14ac:dyDescent="0.3">
      <c r="A69" s="124">
        <v>50</v>
      </c>
      <c r="B69" s="48">
        <v>50</v>
      </c>
    </row>
    <row r="70" spans="1:2" x14ac:dyDescent="0.3">
      <c r="A70" s="124"/>
      <c r="B70" s="48">
        <v>53</v>
      </c>
    </row>
    <row r="71" spans="1:2" x14ac:dyDescent="0.3">
      <c r="A71" s="124">
        <v>56</v>
      </c>
      <c r="B71" s="48">
        <v>56</v>
      </c>
    </row>
    <row r="72" spans="1:2" x14ac:dyDescent="0.3">
      <c r="A72" s="124"/>
      <c r="B72" s="48">
        <v>60</v>
      </c>
    </row>
    <row r="73" spans="1:2" x14ac:dyDescent="0.3">
      <c r="A73" s="124">
        <v>63</v>
      </c>
      <c r="B73" s="48">
        <v>63</v>
      </c>
    </row>
    <row r="74" spans="1:2" x14ac:dyDescent="0.3">
      <c r="A74" s="124"/>
      <c r="B74" s="48">
        <v>67</v>
      </c>
    </row>
    <row r="75" spans="1:2" x14ac:dyDescent="0.3">
      <c r="A75" s="124">
        <v>71</v>
      </c>
      <c r="B75" s="48">
        <v>71</v>
      </c>
    </row>
    <row r="76" spans="1:2" x14ac:dyDescent="0.3">
      <c r="A76" s="124"/>
      <c r="B76" s="48">
        <v>75</v>
      </c>
    </row>
    <row r="77" spans="1:2" x14ac:dyDescent="0.3">
      <c r="A77" s="124">
        <v>80</v>
      </c>
      <c r="B77" s="48">
        <v>80</v>
      </c>
    </row>
    <row r="78" spans="1:2" x14ac:dyDescent="0.3">
      <c r="A78" s="124"/>
      <c r="B78" s="48">
        <v>85</v>
      </c>
    </row>
    <row r="79" spans="1:2" x14ac:dyDescent="0.3">
      <c r="A79" s="124">
        <v>90</v>
      </c>
      <c r="B79" s="48">
        <v>90</v>
      </c>
    </row>
    <row r="80" spans="1:2" x14ac:dyDescent="0.3">
      <c r="A80" s="124"/>
      <c r="B80" s="48">
        <v>95</v>
      </c>
    </row>
  </sheetData>
  <mergeCells count="40">
    <mergeCell ref="A77:A78"/>
    <mergeCell ref="A79:A80"/>
    <mergeCell ref="A65:A66"/>
    <mergeCell ref="A67:A68"/>
    <mergeCell ref="A69:A70"/>
    <mergeCell ref="A71:A72"/>
    <mergeCell ref="A73:A74"/>
    <mergeCell ref="A75:A76"/>
    <mergeCell ref="A63:A64"/>
    <mergeCell ref="A41:A42"/>
    <mergeCell ref="A43:A44"/>
    <mergeCell ref="A45:A46"/>
    <mergeCell ref="A47:A48"/>
    <mergeCell ref="A49:A50"/>
    <mergeCell ref="A51:A52"/>
    <mergeCell ref="A53:A54"/>
    <mergeCell ref="A55:A56"/>
    <mergeCell ref="A57:A58"/>
    <mergeCell ref="A59:A60"/>
    <mergeCell ref="A61:A62"/>
    <mergeCell ref="A37:A38"/>
    <mergeCell ref="A39:A40"/>
    <mergeCell ref="A25:A26"/>
    <mergeCell ref="A27:A28"/>
    <mergeCell ref="A29:A30"/>
    <mergeCell ref="A31:A32"/>
    <mergeCell ref="A33:A34"/>
    <mergeCell ref="A35:A36"/>
    <mergeCell ref="A23:A24"/>
    <mergeCell ref="A1:A2"/>
    <mergeCell ref="A3:A4"/>
    <mergeCell ref="A5:A6"/>
    <mergeCell ref="A7:A8"/>
    <mergeCell ref="A9:A10"/>
    <mergeCell ref="A11:A12"/>
    <mergeCell ref="A13:A14"/>
    <mergeCell ref="A15:A16"/>
    <mergeCell ref="A17:A18"/>
    <mergeCell ref="A19:A20"/>
    <mergeCell ref="A21:A2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36A9F2-8845-4295-A8BD-25F04BE0EFA0}">
  <dimension ref="A1:T34"/>
  <sheetViews>
    <sheetView workbookViewId="0">
      <selection activeCell="F16" sqref="F16"/>
    </sheetView>
  </sheetViews>
  <sheetFormatPr defaultRowHeight="14.4" x14ac:dyDescent="0.3"/>
  <cols>
    <col min="1" max="23" width="6.77734375" customWidth="1"/>
  </cols>
  <sheetData>
    <row r="1" spans="1:20" x14ac:dyDescent="0.3">
      <c r="A1" t="s">
        <v>118</v>
      </c>
      <c r="C1" s="48"/>
      <c r="D1" s="48"/>
    </row>
    <row r="2" spans="1:20" x14ac:dyDescent="0.3">
      <c r="A2">
        <v>4</v>
      </c>
      <c r="E2" s="100" t="s">
        <v>218</v>
      </c>
      <c r="F2" s="100"/>
      <c r="G2" s="100"/>
      <c r="H2" s="100"/>
      <c r="I2" s="100"/>
      <c r="J2" s="124" t="s">
        <v>251</v>
      </c>
      <c r="K2" s="124"/>
      <c r="L2" s="124"/>
      <c r="M2" s="124"/>
      <c r="N2" s="124"/>
      <c r="P2" s="124" t="s">
        <v>252</v>
      </c>
      <c r="Q2" s="124"/>
      <c r="R2" s="124"/>
      <c r="S2" s="124"/>
      <c r="T2" s="124"/>
    </row>
    <row r="3" spans="1:20" x14ac:dyDescent="0.3">
      <c r="A3">
        <v>5</v>
      </c>
      <c r="E3" s="143" t="s">
        <v>0</v>
      </c>
      <c r="F3" s="143"/>
      <c r="G3" s="143"/>
      <c r="H3" s="60">
        <f>Передача!$D$49</f>
        <v>2016</v>
      </c>
      <c r="I3" s="1" t="s">
        <v>153</v>
      </c>
      <c r="J3" s="48" t="s">
        <v>72</v>
      </c>
      <c r="K3" t="s">
        <v>253</v>
      </c>
      <c r="P3" s="48" t="s">
        <v>72</v>
      </c>
      <c r="Q3" t="s">
        <v>253</v>
      </c>
    </row>
    <row r="4" spans="1:20" x14ac:dyDescent="0.3">
      <c r="A4">
        <v>6</v>
      </c>
      <c r="E4" s="143" t="s">
        <v>151</v>
      </c>
      <c r="F4" s="143"/>
      <c r="G4" s="143"/>
      <c r="H4" s="60">
        <f>Передача!$D$50</f>
        <v>734</v>
      </c>
      <c r="I4" s="1" t="s">
        <v>153</v>
      </c>
      <c r="J4" s="124" t="s">
        <v>292</v>
      </c>
      <c r="K4" s="124"/>
      <c r="L4" s="124"/>
    </row>
    <row r="5" spans="1:20" x14ac:dyDescent="0.3">
      <c r="A5">
        <v>7</v>
      </c>
      <c r="E5" s="143" t="s">
        <v>152</v>
      </c>
      <c r="F5" s="143"/>
      <c r="G5" s="143"/>
      <c r="H5" s="60">
        <f>Передача!$D$51</f>
        <v>0</v>
      </c>
      <c r="I5" s="1" t="s">
        <v>153</v>
      </c>
      <c r="J5" s="124" t="s">
        <v>118</v>
      </c>
      <c r="K5" s="124"/>
      <c r="L5" s="124"/>
      <c r="M5">
        <f>Вал!K16</f>
        <v>40</v>
      </c>
      <c r="N5" t="s">
        <v>16</v>
      </c>
      <c r="P5" s="124" t="s">
        <v>118</v>
      </c>
      <c r="Q5" s="124"/>
      <c r="R5" s="124"/>
      <c r="S5">
        <f ca="1">Вал!S15</f>
        <v>50</v>
      </c>
      <c r="T5" t="s">
        <v>16</v>
      </c>
    </row>
    <row r="6" spans="1:20" x14ac:dyDescent="0.3">
      <c r="A6">
        <v>8</v>
      </c>
      <c r="J6" s="124" t="s">
        <v>250</v>
      </c>
      <c r="K6" s="124"/>
      <c r="L6" s="124"/>
      <c r="M6" s="52">
        <f>E16</f>
        <v>208</v>
      </c>
      <c r="P6" s="124" t="s">
        <v>250</v>
      </c>
      <c r="Q6" s="124"/>
      <c r="R6" s="124"/>
      <c r="S6" s="52">
        <f>E18</f>
        <v>210</v>
      </c>
    </row>
    <row r="7" spans="1:20" x14ac:dyDescent="0.3">
      <c r="A7">
        <v>11</v>
      </c>
    </row>
    <row r="8" spans="1:20" x14ac:dyDescent="0.3">
      <c r="A8">
        <v>13</v>
      </c>
    </row>
    <row r="9" spans="1:20" x14ac:dyDescent="0.3">
      <c r="A9">
        <v>15</v>
      </c>
      <c r="E9" s="124" t="s">
        <v>291</v>
      </c>
      <c r="F9" s="124"/>
      <c r="G9" s="124"/>
      <c r="H9" s="124"/>
      <c r="I9" s="124"/>
      <c r="J9" s="124"/>
      <c r="K9" s="124"/>
      <c r="L9" s="124"/>
      <c r="M9" s="124"/>
    </row>
    <row r="10" spans="1:20" x14ac:dyDescent="0.3">
      <c r="A10">
        <v>17</v>
      </c>
      <c r="D10" s="1"/>
      <c r="E10" s="124">
        <v>200</v>
      </c>
      <c r="F10" s="124"/>
      <c r="G10" s="124"/>
      <c r="H10" s="124">
        <v>300</v>
      </c>
      <c r="I10" s="124"/>
      <c r="J10" s="124"/>
      <c r="K10" s="124">
        <v>400</v>
      </c>
      <c r="L10" s="124"/>
      <c r="M10" s="124"/>
    </row>
    <row r="11" spans="1:20" x14ac:dyDescent="0.3">
      <c r="A11">
        <v>19</v>
      </c>
      <c r="E11" t="s">
        <v>288</v>
      </c>
      <c r="F11" t="s">
        <v>289</v>
      </c>
      <c r="G11" t="s">
        <v>290</v>
      </c>
      <c r="H11" t="s">
        <v>288</v>
      </c>
      <c r="I11" t="s">
        <v>289</v>
      </c>
      <c r="J11" t="s">
        <v>290</v>
      </c>
      <c r="K11" t="s">
        <v>288</v>
      </c>
      <c r="L11" t="s">
        <v>289</v>
      </c>
      <c r="M11" t="s">
        <v>290</v>
      </c>
    </row>
    <row r="12" spans="1:20" x14ac:dyDescent="0.3">
      <c r="A12">
        <v>20</v>
      </c>
      <c r="B12">
        <v>4</v>
      </c>
      <c r="E12">
        <v>204</v>
      </c>
      <c r="F12">
        <v>47</v>
      </c>
      <c r="G12">
        <v>14</v>
      </c>
      <c r="H12">
        <v>304</v>
      </c>
      <c r="I12">
        <v>52</v>
      </c>
      <c r="J12">
        <v>15</v>
      </c>
      <c r="K12">
        <v>404</v>
      </c>
    </row>
    <row r="13" spans="1:20" x14ac:dyDescent="0.3">
      <c r="A13">
        <v>25</v>
      </c>
      <c r="B13">
        <v>5</v>
      </c>
      <c r="E13">
        <v>205</v>
      </c>
      <c r="F13">
        <v>52</v>
      </c>
      <c r="G13">
        <v>15</v>
      </c>
      <c r="H13">
        <v>305</v>
      </c>
      <c r="I13">
        <v>62</v>
      </c>
      <c r="J13">
        <v>17</v>
      </c>
      <c r="K13">
        <v>405</v>
      </c>
    </row>
    <row r="14" spans="1:20" x14ac:dyDescent="0.3">
      <c r="A14">
        <v>30</v>
      </c>
      <c r="B14">
        <v>6</v>
      </c>
      <c r="E14">
        <v>206</v>
      </c>
      <c r="F14">
        <v>62</v>
      </c>
      <c r="G14">
        <v>16</v>
      </c>
      <c r="H14">
        <v>306</v>
      </c>
      <c r="I14">
        <v>72</v>
      </c>
      <c r="J14">
        <v>19</v>
      </c>
      <c r="K14">
        <v>406</v>
      </c>
    </row>
    <row r="15" spans="1:20" x14ac:dyDescent="0.3">
      <c r="A15">
        <v>35</v>
      </c>
      <c r="B15">
        <v>7</v>
      </c>
      <c r="D15" s="1"/>
      <c r="E15">
        <v>207</v>
      </c>
      <c r="F15">
        <v>72</v>
      </c>
      <c r="G15">
        <v>17</v>
      </c>
      <c r="H15">
        <v>307</v>
      </c>
      <c r="I15">
        <v>80</v>
      </c>
      <c r="J15">
        <v>21</v>
      </c>
      <c r="K15">
        <v>407</v>
      </c>
    </row>
    <row r="16" spans="1:20" x14ac:dyDescent="0.3">
      <c r="A16">
        <v>40</v>
      </c>
      <c r="B16">
        <v>8</v>
      </c>
      <c r="E16">
        <v>208</v>
      </c>
      <c r="F16">
        <v>80</v>
      </c>
      <c r="G16">
        <v>18</v>
      </c>
      <c r="H16">
        <v>308</v>
      </c>
      <c r="I16">
        <v>90</v>
      </c>
      <c r="J16">
        <v>23</v>
      </c>
      <c r="K16">
        <v>408</v>
      </c>
    </row>
    <row r="17" spans="1:11" x14ac:dyDescent="0.3">
      <c r="A17">
        <v>45</v>
      </c>
      <c r="B17">
        <v>9</v>
      </c>
      <c r="E17">
        <v>209</v>
      </c>
      <c r="F17">
        <v>85</v>
      </c>
      <c r="G17">
        <v>19</v>
      </c>
      <c r="H17">
        <v>309</v>
      </c>
      <c r="I17">
        <v>100</v>
      </c>
      <c r="J17">
        <v>25</v>
      </c>
      <c r="K17">
        <v>409</v>
      </c>
    </row>
    <row r="18" spans="1:11" x14ac:dyDescent="0.3">
      <c r="A18">
        <v>50</v>
      </c>
      <c r="B18">
        <v>10</v>
      </c>
      <c r="E18">
        <v>210</v>
      </c>
      <c r="F18">
        <v>90</v>
      </c>
      <c r="G18">
        <v>20</v>
      </c>
      <c r="H18">
        <v>310</v>
      </c>
      <c r="I18">
        <v>110</v>
      </c>
      <c r="J18">
        <v>27</v>
      </c>
      <c r="K18">
        <v>410</v>
      </c>
    </row>
    <row r="19" spans="1:11" x14ac:dyDescent="0.3">
      <c r="A19">
        <v>55</v>
      </c>
      <c r="B19">
        <v>11</v>
      </c>
      <c r="E19">
        <v>211</v>
      </c>
      <c r="F19">
        <v>100</v>
      </c>
      <c r="G19">
        <v>21</v>
      </c>
      <c r="H19">
        <v>311</v>
      </c>
      <c r="I19">
        <v>120</v>
      </c>
      <c r="J19">
        <v>29</v>
      </c>
      <c r="K19">
        <v>411</v>
      </c>
    </row>
    <row r="20" spans="1:11" x14ac:dyDescent="0.3">
      <c r="A20">
        <v>60</v>
      </c>
      <c r="B20">
        <v>12</v>
      </c>
      <c r="E20">
        <v>212</v>
      </c>
      <c r="F20">
        <v>110</v>
      </c>
      <c r="G20">
        <v>22</v>
      </c>
      <c r="H20">
        <v>312</v>
      </c>
      <c r="I20">
        <v>130</v>
      </c>
      <c r="J20">
        <v>31</v>
      </c>
      <c r="K20">
        <v>412</v>
      </c>
    </row>
    <row r="21" spans="1:11" x14ac:dyDescent="0.3">
      <c r="A21">
        <v>65</v>
      </c>
      <c r="B21">
        <v>13</v>
      </c>
      <c r="E21">
        <v>213</v>
      </c>
      <c r="F21">
        <v>120</v>
      </c>
      <c r="G21">
        <v>23</v>
      </c>
      <c r="H21">
        <v>313</v>
      </c>
      <c r="I21">
        <v>140</v>
      </c>
      <c r="J21">
        <v>33</v>
      </c>
      <c r="K21">
        <v>413</v>
      </c>
    </row>
    <row r="22" spans="1:11" x14ac:dyDescent="0.3">
      <c r="A22">
        <v>70</v>
      </c>
      <c r="B22">
        <v>14</v>
      </c>
      <c r="E22">
        <v>214</v>
      </c>
      <c r="F22">
        <v>125</v>
      </c>
      <c r="G22">
        <v>24</v>
      </c>
      <c r="H22">
        <v>314</v>
      </c>
      <c r="I22">
        <v>150</v>
      </c>
      <c r="J22">
        <v>35</v>
      </c>
      <c r="K22">
        <v>414</v>
      </c>
    </row>
    <row r="23" spans="1:11" x14ac:dyDescent="0.3">
      <c r="A23">
        <v>75</v>
      </c>
      <c r="B23">
        <v>15</v>
      </c>
      <c r="E23">
        <v>215</v>
      </c>
      <c r="F23">
        <v>130</v>
      </c>
      <c r="G23">
        <v>25</v>
      </c>
      <c r="H23">
        <v>315</v>
      </c>
      <c r="I23">
        <v>160</v>
      </c>
      <c r="J23">
        <v>37</v>
      </c>
      <c r="K23">
        <v>415</v>
      </c>
    </row>
    <row r="24" spans="1:11" x14ac:dyDescent="0.3">
      <c r="A24">
        <v>80</v>
      </c>
      <c r="B24">
        <v>16</v>
      </c>
      <c r="E24">
        <v>216</v>
      </c>
      <c r="F24">
        <v>140</v>
      </c>
      <c r="G24">
        <v>26</v>
      </c>
      <c r="H24">
        <v>316</v>
      </c>
      <c r="I24">
        <v>170</v>
      </c>
      <c r="J24">
        <v>39</v>
      </c>
      <c r="K24">
        <v>416</v>
      </c>
    </row>
    <row r="25" spans="1:11" x14ac:dyDescent="0.3">
      <c r="A25">
        <v>85</v>
      </c>
      <c r="B25">
        <v>17</v>
      </c>
    </row>
    <row r="26" spans="1:11" x14ac:dyDescent="0.3">
      <c r="A26">
        <v>90</v>
      </c>
      <c r="B26">
        <v>18</v>
      </c>
    </row>
    <row r="27" spans="1:11" x14ac:dyDescent="0.3">
      <c r="A27">
        <v>95</v>
      </c>
      <c r="B27">
        <v>19</v>
      </c>
    </row>
    <row r="28" spans="1:11" x14ac:dyDescent="0.3">
      <c r="A28">
        <v>100</v>
      </c>
      <c r="B28">
        <v>20</v>
      </c>
    </row>
    <row r="29" spans="1:11" x14ac:dyDescent="0.3">
      <c r="A29">
        <v>105</v>
      </c>
      <c r="B29">
        <v>21</v>
      </c>
    </row>
    <row r="30" spans="1:11" x14ac:dyDescent="0.3">
      <c r="A30">
        <v>110</v>
      </c>
      <c r="B30">
        <v>22</v>
      </c>
    </row>
    <row r="31" spans="1:11" x14ac:dyDescent="0.3">
      <c r="A31">
        <v>115</v>
      </c>
      <c r="B31">
        <v>23</v>
      </c>
    </row>
    <row r="32" spans="1:11" x14ac:dyDescent="0.3">
      <c r="A32">
        <v>120</v>
      </c>
      <c r="B32">
        <v>24</v>
      </c>
    </row>
    <row r="33" spans="1:2" x14ac:dyDescent="0.3">
      <c r="A33">
        <v>125</v>
      </c>
      <c r="B33">
        <v>25</v>
      </c>
    </row>
    <row r="34" spans="1:2" x14ac:dyDescent="0.3">
      <c r="A34">
        <v>130</v>
      </c>
      <c r="B34">
        <v>26</v>
      </c>
    </row>
  </sheetData>
  <mergeCells count="15">
    <mergeCell ref="J2:N2"/>
    <mergeCell ref="P2:T2"/>
    <mergeCell ref="P5:R5"/>
    <mergeCell ref="E2:I2"/>
    <mergeCell ref="E3:G3"/>
    <mergeCell ref="E4:G4"/>
    <mergeCell ref="P6:R6"/>
    <mergeCell ref="J4:L4"/>
    <mergeCell ref="E10:G10"/>
    <mergeCell ref="H10:J10"/>
    <mergeCell ref="K10:M10"/>
    <mergeCell ref="E9:M9"/>
    <mergeCell ref="J6:L6"/>
    <mergeCell ref="E5:G5"/>
    <mergeCell ref="J5:L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704C68-B145-4DB6-B0E3-AE1BF65D15BC}">
  <dimension ref="A1:L14"/>
  <sheetViews>
    <sheetView workbookViewId="0">
      <selection activeCell="H4" sqref="A4:H4"/>
    </sheetView>
  </sheetViews>
  <sheetFormatPr defaultRowHeight="14.4" x14ac:dyDescent="0.3"/>
  <cols>
    <col min="1" max="18" width="6.77734375" customWidth="1"/>
  </cols>
  <sheetData>
    <row r="1" spans="1:12" x14ac:dyDescent="0.3">
      <c r="A1" s="124" t="s">
        <v>258</v>
      </c>
      <c r="B1" s="124"/>
      <c r="C1" s="124" t="s">
        <v>176</v>
      </c>
      <c r="D1" s="124"/>
      <c r="E1" s="124" t="s">
        <v>265</v>
      </c>
      <c r="F1" s="124"/>
      <c r="G1" s="124" t="s">
        <v>268</v>
      </c>
      <c r="H1" s="124"/>
      <c r="I1" s="124"/>
      <c r="J1" s="124"/>
      <c r="K1" s="124"/>
    </row>
    <row r="2" spans="1:12" x14ac:dyDescent="0.3">
      <c r="A2" s="124"/>
      <c r="B2" s="124"/>
      <c r="C2" s="124" t="s">
        <v>266</v>
      </c>
      <c r="D2" s="124"/>
      <c r="E2" s="124" t="s">
        <v>267</v>
      </c>
      <c r="F2" s="124"/>
      <c r="G2" s="91" t="s">
        <v>269</v>
      </c>
      <c r="H2" s="91" t="s">
        <v>270</v>
      </c>
      <c r="I2" s="91" t="s">
        <v>271</v>
      </c>
      <c r="J2" s="91" t="s">
        <v>272</v>
      </c>
      <c r="K2" s="91" t="s">
        <v>273</v>
      </c>
      <c r="L2" s="91" t="s">
        <v>274</v>
      </c>
    </row>
    <row r="3" spans="1:12" x14ac:dyDescent="0.3">
      <c r="A3" s="124" t="s">
        <v>259</v>
      </c>
      <c r="B3" s="124"/>
      <c r="C3" s="124">
        <v>1000</v>
      </c>
      <c r="D3" s="124"/>
      <c r="E3" s="124">
        <v>190</v>
      </c>
      <c r="F3" s="124"/>
      <c r="G3">
        <v>520</v>
      </c>
      <c r="H3">
        <v>280</v>
      </c>
      <c r="I3">
        <v>150</v>
      </c>
      <c r="J3">
        <v>220</v>
      </c>
      <c r="K3">
        <v>130</v>
      </c>
      <c r="L3">
        <v>0.06</v>
      </c>
    </row>
    <row r="4" spans="1:12" x14ac:dyDescent="0.3">
      <c r="A4" s="124">
        <v>45</v>
      </c>
      <c r="B4" s="124"/>
      <c r="C4" s="124">
        <v>120</v>
      </c>
      <c r="D4" s="124"/>
      <c r="E4" s="124">
        <v>227</v>
      </c>
      <c r="F4" s="124"/>
      <c r="G4">
        <v>820</v>
      </c>
      <c r="H4">
        <v>640</v>
      </c>
      <c r="I4">
        <v>290</v>
      </c>
      <c r="J4">
        <v>360</v>
      </c>
      <c r="K4">
        <v>200</v>
      </c>
      <c r="L4">
        <v>0.09</v>
      </c>
    </row>
    <row r="5" spans="1:12" x14ac:dyDescent="0.3">
      <c r="A5" s="124">
        <v>45</v>
      </c>
      <c r="B5" s="124"/>
      <c r="C5" s="124">
        <v>80</v>
      </c>
      <c r="D5" s="124"/>
      <c r="E5" s="124">
        <v>260</v>
      </c>
      <c r="F5" s="124"/>
      <c r="G5">
        <v>900</v>
      </c>
      <c r="H5">
        <v>650</v>
      </c>
      <c r="I5">
        <v>390</v>
      </c>
      <c r="J5">
        <v>410</v>
      </c>
      <c r="K5">
        <v>230</v>
      </c>
      <c r="L5">
        <v>0.1</v>
      </c>
    </row>
    <row r="6" spans="1:12" x14ac:dyDescent="0.3">
      <c r="A6" s="124" t="s">
        <v>260</v>
      </c>
      <c r="B6" s="124"/>
      <c r="C6" s="124">
        <v>200</v>
      </c>
      <c r="D6" s="124"/>
      <c r="E6" s="124">
        <v>240</v>
      </c>
      <c r="F6" s="124"/>
      <c r="G6">
        <v>790</v>
      </c>
      <c r="H6">
        <v>640</v>
      </c>
      <c r="I6">
        <v>380</v>
      </c>
      <c r="J6">
        <v>370</v>
      </c>
      <c r="K6">
        <v>210</v>
      </c>
      <c r="L6">
        <v>0.09</v>
      </c>
    </row>
    <row r="7" spans="1:12" x14ac:dyDescent="0.3">
      <c r="A7" s="124" t="s">
        <v>260</v>
      </c>
      <c r="B7" s="124"/>
      <c r="C7" s="124">
        <v>120</v>
      </c>
      <c r="D7" s="124"/>
      <c r="E7" s="124">
        <v>270</v>
      </c>
      <c r="F7" s="124"/>
      <c r="G7">
        <v>980</v>
      </c>
      <c r="H7">
        <v>780</v>
      </c>
      <c r="I7">
        <v>450</v>
      </c>
      <c r="J7">
        <v>410</v>
      </c>
      <c r="K7">
        <v>240</v>
      </c>
      <c r="L7">
        <v>0.1</v>
      </c>
    </row>
    <row r="8" spans="1:12" x14ac:dyDescent="0.3">
      <c r="A8" s="124" t="s">
        <v>261</v>
      </c>
      <c r="B8" s="124"/>
      <c r="C8" s="124">
        <v>200</v>
      </c>
      <c r="D8" s="124"/>
      <c r="E8" s="124">
        <v>270</v>
      </c>
      <c r="F8" s="124"/>
      <c r="G8">
        <v>980</v>
      </c>
      <c r="H8">
        <v>750</v>
      </c>
      <c r="I8">
        <v>450</v>
      </c>
      <c r="J8">
        <v>420</v>
      </c>
      <c r="K8">
        <v>2300</v>
      </c>
      <c r="L8">
        <v>0.1</v>
      </c>
    </row>
    <row r="9" spans="1:12" x14ac:dyDescent="0.3">
      <c r="A9" s="124" t="s">
        <v>262</v>
      </c>
      <c r="B9" s="124"/>
      <c r="C9" s="124">
        <v>120</v>
      </c>
      <c r="D9" s="124"/>
      <c r="E9" s="124">
        <v>197</v>
      </c>
      <c r="F9" s="124"/>
      <c r="G9">
        <v>650</v>
      </c>
      <c r="H9">
        <v>400</v>
      </c>
      <c r="I9">
        <v>240</v>
      </c>
      <c r="J9">
        <v>310</v>
      </c>
      <c r="K9">
        <v>170</v>
      </c>
      <c r="L9">
        <v>7.0000000000000007E-2</v>
      </c>
    </row>
    <row r="10" spans="1:12" x14ac:dyDescent="0.3">
      <c r="A10" s="124" t="s">
        <v>263</v>
      </c>
      <c r="B10" s="124"/>
      <c r="C10" s="124">
        <v>120</v>
      </c>
      <c r="D10" s="124"/>
      <c r="E10" s="124">
        <v>260</v>
      </c>
      <c r="F10" s="124"/>
      <c r="G10">
        <v>930</v>
      </c>
      <c r="H10">
        <v>685</v>
      </c>
      <c r="I10">
        <v>490</v>
      </c>
      <c r="J10">
        <v>430</v>
      </c>
      <c r="K10">
        <v>240</v>
      </c>
      <c r="L10">
        <v>0.1</v>
      </c>
    </row>
    <row r="11" spans="1:12" x14ac:dyDescent="0.3">
      <c r="A11" s="124" t="s">
        <v>264</v>
      </c>
      <c r="B11" s="124"/>
      <c r="C11" s="124">
        <v>60</v>
      </c>
      <c r="D11" s="124"/>
      <c r="E11" s="124">
        <v>330</v>
      </c>
      <c r="F11" s="124"/>
      <c r="G11">
        <v>1180</v>
      </c>
      <c r="H11">
        <v>930</v>
      </c>
      <c r="I11">
        <v>660</v>
      </c>
      <c r="J11">
        <v>500</v>
      </c>
      <c r="K11">
        <v>280</v>
      </c>
      <c r="L11">
        <v>0.12</v>
      </c>
    </row>
    <row r="12" spans="1:12" x14ac:dyDescent="0.3">
      <c r="A12" s="48"/>
      <c r="B12" s="48"/>
    </row>
    <row r="13" spans="1:12" x14ac:dyDescent="0.3">
      <c r="A13" s="48"/>
      <c r="B13" s="48"/>
    </row>
    <row r="14" spans="1:12" x14ac:dyDescent="0.3">
      <c r="A14" s="48"/>
      <c r="B14" s="48"/>
    </row>
  </sheetData>
  <mergeCells count="33">
    <mergeCell ref="G1:K1"/>
    <mergeCell ref="C10:D10"/>
    <mergeCell ref="A6:B6"/>
    <mergeCell ref="A1:B2"/>
    <mergeCell ref="E2:F2"/>
    <mergeCell ref="C7:D7"/>
    <mergeCell ref="C8:D8"/>
    <mergeCell ref="C9:D9"/>
    <mergeCell ref="A8:B8"/>
    <mergeCell ref="A9:B9"/>
    <mergeCell ref="A10:B10"/>
    <mergeCell ref="E10:F10"/>
    <mergeCell ref="E1:F1"/>
    <mergeCell ref="C1:D1"/>
    <mergeCell ref="C3:D3"/>
    <mergeCell ref="C6:D6"/>
    <mergeCell ref="E11:F11"/>
    <mergeCell ref="C2:D2"/>
    <mergeCell ref="C5:D5"/>
    <mergeCell ref="C11:D11"/>
    <mergeCell ref="E3:F3"/>
    <mergeCell ref="E4:F4"/>
    <mergeCell ref="E5:F5"/>
    <mergeCell ref="E6:F6"/>
    <mergeCell ref="E7:F7"/>
    <mergeCell ref="E8:F8"/>
    <mergeCell ref="C4:D4"/>
    <mergeCell ref="E9:F9"/>
    <mergeCell ref="A5:B5"/>
    <mergeCell ref="A7:B7"/>
    <mergeCell ref="A11:B11"/>
    <mergeCell ref="A3:B3"/>
    <mergeCell ref="A4:B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11</vt:i4>
      </vt:variant>
    </vt:vector>
  </HeadingPairs>
  <TitlesOfParts>
    <vt:vector size="11" baseType="lpstr">
      <vt:lpstr>Электродвигатель</vt:lpstr>
      <vt:lpstr>Вал</vt:lpstr>
      <vt:lpstr>Крышки</vt:lpstr>
      <vt:lpstr>Передача</vt:lpstr>
      <vt:lpstr>Колесо</vt:lpstr>
      <vt:lpstr>тихоходный вал</vt:lpstr>
      <vt:lpstr>вал-шестерня</vt:lpstr>
      <vt:lpstr>Корпус</vt:lpstr>
      <vt:lpstr>Ra40</vt:lpstr>
      <vt:lpstr>Подшипники</vt:lpstr>
      <vt:lpstr>Материалы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Professional</dc:creator>
  <cp:lastModifiedBy>Николай Казанков</cp:lastModifiedBy>
  <dcterms:created xsi:type="dcterms:W3CDTF">2026-02-16T08:41:05Z</dcterms:created>
  <dcterms:modified xsi:type="dcterms:W3CDTF">2026-03-14T09:20:54Z</dcterms:modified>
</cp:coreProperties>
</file>