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essional\Downloads\интститут\курсач детмаш\"/>
    </mc:Choice>
  </mc:AlternateContent>
  <xr:revisionPtr revIDLastSave="0" documentId="13_ncr:1_{30A501CD-B8BA-43E8-AF90-288A69021433}" xr6:coauthVersionLast="47" xr6:coauthVersionMax="47" xr10:uidLastSave="{00000000-0000-0000-0000-000000000000}"/>
  <bookViews>
    <workbookView xWindow="-108" yWindow="-108" windowWidth="23256" windowHeight="12456" xr2:uid="{7E097F76-7D13-4899-AD2E-10ADA644057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55" i="1" l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41" i="1"/>
  <c r="AK4" i="1"/>
  <c r="AJ4" i="1" s="1"/>
  <c r="AK5" i="1"/>
  <c r="AJ5" i="1" s="1"/>
  <c r="AK6" i="1"/>
  <c r="AJ6" i="1" s="1"/>
  <c r="AK7" i="1"/>
  <c r="AJ7" i="1" s="1"/>
  <c r="AK8" i="1"/>
  <c r="AJ8" i="1" s="1"/>
  <c r="AK9" i="1"/>
  <c r="AJ9" i="1" s="1"/>
  <c r="AK10" i="1"/>
  <c r="AJ10" i="1" s="1"/>
  <c r="AK3" i="1"/>
  <c r="AJ3" i="1" s="1"/>
  <c r="AI10" i="1"/>
  <c r="AH10" i="1"/>
  <c r="AH9" i="1"/>
  <c r="AI9" i="1"/>
  <c r="AI8" i="1"/>
  <c r="AH8" i="1"/>
  <c r="AI7" i="1"/>
  <c r="AH7" i="1"/>
  <c r="AI6" i="1"/>
  <c r="AH6" i="1"/>
  <c r="AI5" i="1"/>
  <c r="AH5" i="1"/>
  <c r="AI4" i="1"/>
  <c r="AH4" i="1"/>
  <c r="AI3" i="1"/>
  <c r="AH3" i="1"/>
  <c r="F62" i="1"/>
  <c r="F63" i="1" s="1"/>
  <c r="L42" i="1"/>
  <c r="U59" i="1"/>
  <c r="T59" i="1"/>
  <c r="R59" i="1"/>
  <c r="Q59" i="1"/>
  <c r="X47" i="1"/>
  <c r="X46" i="1"/>
  <c r="X43" i="1"/>
  <c r="X42" i="1"/>
  <c r="T47" i="1"/>
  <c r="T46" i="1"/>
  <c r="T43" i="1"/>
  <c r="P47" i="1"/>
  <c r="P46" i="1"/>
  <c r="F57" i="1" s="1"/>
  <c r="P43" i="1"/>
  <c r="P42" i="1"/>
  <c r="T42" i="1"/>
  <c r="F42" i="1"/>
  <c r="F43" i="1"/>
  <c r="H43" i="1" s="1"/>
  <c r="F44" i="1"/>
  <c r="H44" i="1" s="1"/>
  <c r="W44" i="1" s="1"/>
  <c r="F45" i="1"/>
  <c r="H45" i="1" s="1"/>
  <c r="W45" i="1" s="1"/>
  <c r="F46" i="1"/>
  <c r="H46" i="1" s="1"/>
  <c r="F47" i="1"/>
  <c r="H47" i="1" s="1"/>
  <c r="F48" i="1"/>
  <c r="H48" i="1" s="1"/>
  <c r="K48" i="1" s="1"/>
  <c r="F49" i="1"/>
  <c r="H49" i="1" s="1"/>
  <c r="S49" i="1" s="1"/>
  <c r="F50" i="1"/>
  <c r="H50" i="1" s="1"/>
  <c r="O50" i="1" s="1"/>
  <c r="F51" i="1"/>
  <c r="H51" i="1" s="1"/>
  <c r="O51" i="1" s="1"/>
  <c r="F52" i="1"/>
  <c r="H52" i="1" s="1"/>
  <c r="O52" i="1" s="1"/>
  <c r="F53" i="1"/>
  <c r="H53" i="1" s="1"/>
  <c r="W53" i="1" s="1"/>
  <c r="F54" i="1"/>
  <c r="H54" i="1" s="1"/>
  <c r="K54" i="1" s="1"/>
  <c r="F55" i="1"/>
  <c r="H55" i="1" s="1"/>
  <c r="K55" i="1" s="1"/>
  <c r="F41" i="1"/>
  <c r="H41" i="1" s="1"/>
  <c r="K41" i="1" s="1"/>
  <c r="V4" i="1"/>
  <c r="V5" i="1"/>
  <c r="V6" i="1"/>
  <c r="V7" i="1"/>
  <c r="V8" i="1"/>
  <c r="V9" i="1"/>
  <c r="V10" i="1"/>
  <c r="V11" i="1"/>
  <c r="M8" i="1" s="1"/>
  <c r="M9" i="1" s="1"/>
  <c r="V12" i="1"/>
  <c r="V3" i="1"/>
  <c r="M2" i="1"/>
  <c r="S54" i="1" l="1"/>
  <c r="O49" i="1"/>
  <c r="S48" i="1"/>
  <c r="S53" i="1"/>
  <c r="W49" i="1"/>
  <c r="O48" i="1"/>
  <c r="W48" i="1"/>
  <c r="W50" i="1"/>
  <c r="K49" i="1"/>
  <c r="W51" i="1"/>
  <c r="O41" i="1"/>
  <c r="O53" i="1"/>
  <c r="O54" i="1"/>
  <c r="W52" i="1"/>
  <c r="O55" i="1"/>
  <c r="K53" i="1"/>
  <c r="K52" i="1"/>
  <c r="S50" i="1"/>
  <c r="H42" i="1"/>
  <c r="F61" i="1" s="1"/>
  <c r="K51" i="1"/>
  <c r="S51" i="1"/>
  <c r="K50" i="1"/>
  <c r="S52" i="1"/>
  <c r="S41" i="1"/>
  <c r="O45" i="1"/>
  <c r="S44" i="1"/>
  <c r="W41" i="1"/>
  <c r="S45" i="1"/>
  <c r="O44" i="1"/>
  <c r="S55" i="1"/>
  <c r="W54" i="1"/>
  <c r="K45" i="1"/>
  <c r="W55" i="1"/>
  <c r="K44" i="1"/>
  <c r="M11" i="1"/>
  <c r="I36" i="1" s="1"/>
  <c r="R36" i="1" s="1"/>
  <c r="S59" i="1"/>
  <c r="F68" i="1" s="1"/>
  <c r="R39" i="1" l="1"/>
  <c r="P59" i="1"/>
  <c r="F69" i="1" s="1"/>
  <c r="M36" i="1"/>
  <c r="W36" i="1"/>
  <c r="T36" i="1"/>
  <c r="Q36" i="1"/>
  <c r="F66" i="1" s="1"/>
  <c r="F67" i="1" s="1"/>
  <c r="S36" i="1"/>
  <c r="L36" i="1"/>
  <c r="Y36" i="1"/>
  <c r="X36" i="1"/>
  <c r="P36" i="1"/>
  <c r="V36" i="1"/>
  <c r="V39" i="1" s="1"/>
  <c r="Z36" i="1"/>
  <c r="Z39" i="1" s="1"/>
  <c r="O36" i="1"/>
  <c r="U36" i="1"/>
  <c r="N36" i="1"/>
  <c r="N39" i="1" s="1"/>
  <c r="K36" i="1"/>
  <c r="F59" i="1" l="1"/>
  <c r="F60" i="1" s="1"/>
  <c r="O42" i="1"/>
  <c r="F58" i="1" s="1"/>
  <c r="F64" i="1" s="1"/>
  <c r="O43" i="1"/>
  <c r="O46" i="1"/>
  <c r="O47" i="1"/>
  <c r="W46" i="1"/>
  <c r="W42" i="1"/>
  <c r="W47" i="1"/>
  <c r="W43" i="1"/>
  <c r="K43" i="1"/>
  <c r="K47" i="1"/>
  <c r="K42" i="1"/>
  <c r="K46" i="1"/>
  <c r="S47" i="1"/>
  <c r="S42" i="1"/>
  <c r="S43" i="1"/>
  <c r="S46" i="1"/>
  <c r="F65" i="1" l="1"/>
  <c r="N42" i="1"/>
  <c r="N41" i="1"/>
  <c r="N50" i="1"/>
  <c r="N55" i="1"/>
  <c r="N54" i="1"/>
  <c r="N53" i="1"/>
  <c r="N44" i="1"/>
  <c r="N43" i="1"/>
  <c r="N46" i="1"/>
  <c r="N49" i="1"/>
  <c r="N48" i="1"/>
  <c r="N51" i="1"/>
  <c r="N52" i="1"/>
  <c r="N47" i="1"/>
  <c r="N45" i="1"/>
  <c r="R42" i="1"/>
  <c r="R47" i="1"/>
  <c r="R45" i="1"/>
  <c r="R41" i="1"/>
  <c r="R55" i="1"/>
  <c r="R44" i="1"/>
  <c r="R43" i="1"/>
  <c r="R48" i="1"/>
  <c r="R51" i="1"/>
  <c r="R54" i="1"/>
  <c r="R49" i="1"/>
  <c r="R46" i="1"/>
  <c r="R53" i="1"/>
  <c r="R50" i="1"/>
  <c r="R52" i="1"/>
  <c r="V53" i="1"/>
  <c r="V44" i="1"/>
  <c r="V50" i="1"/>
  <c r="V43" i="1"/>
  <c r="V54" i="1"/>
  <c r="V47" i="1"/>
  <c r="V49" i="1"/>
  <c r="V48" i="1"/>
  <c r="V46" i="1"/>
  <c r="V51" i="1"/>
  <c r="V41" i="1"/>
  <c r="V55" i="1"/>
  <c r="V52" i="1"/>
  <c r="V45" i="1"/>
  <c r="V42" i="1"/>
  <c r="Z53" i="1"/>
  <c r="Z52" i="1"/>
  <c r="Z55" i="1"/>
  <c r="Z46" i="1"/>
  <c r="Z41" i="1"/>
  <c r="Z43" i="1"/>
  <c r="Z44" i="1"/>
  <c r="Z50" i="1"/>
  <c r="Z42" i="1"/>
  <c r="Z54" i="1"/>
  <c r="Z45" i="1"/>
  <c r="Z47" i="1"/>
  <c r="Z51" i="1"/>
  <c r="Z49" i="1"/>
  <c r="Z48" i="1"/>
  <c r="N56" i="1" l="1"/>
</calcChain>
</file>

<file path=xl/sharedStrings.xml><?xml version="1.0" encoding="utf-8"?>
<sst xmlns="http://schemas.openxmlformats.org/spreadsheetml/2006/main" count="170" uniqueCount="125">
  <si>
    <t>Окружная сила</t>
  </si>
  <si>
    <t>Скорость ленты</t>
  </si>
  <si>
    <t>Максимальный КПД</t>
  </si>
  <si>
    <t>Целевой показатель</t>
  </si>
  <si>
    <t>кН</t>
  </si>
  <si>
    <t>м/с</t>
  </si>
  <si>
    <t>Расчётный ресурс</t>
  </si>
  <si>
    <t>Ветоятность безотказной работы</t>
  </si>
  <si>
    <t>Режим нагружения</t>
  </si>
  <si>
    <t>Предельная перегрузка</t>
  </si>
  <si>
    <t>Дано</t>
  </si>
  <si>
    <t>часов</t>
  </si>
  <si>
    <t>Все подвижные части накрыты кожухами</t>
  </si>
  <si>
    <t>Конструктивные требования</t>
  </si>
  <si>
    <t>Требования безопасности</t>
  </si>
  <si>
    <t>Ширина ленты</t>
  </si>
  <si>
    <t>мм</t>
  </si>
  <si>
    <t>Расположение вала</t>
  </si>
  <si>
    <t>горизонтальное</t>
  </si>
  <si>
    <t>Высота</t>
  </si>
  <si>
    <t>+-60мм</t>
  </si>
  <si>
    <t>Объём выпуска</t>
  </si>
  <si>
    <t>шт/год</t>
  </si>
  <si>
    <t>Схема</t>
  </si>
  <si>
    <t>Дигатель-&gt;Муфта-&gt;Редуктор-&gt;Муфта-&gt;Барабан</t>
  </si>
  <si>
    <t>Количество</t>
  </si>
  <si>
    <t>Опоры</t>
  </si>
  <si>
    <t>КПД</t>
  </si>
  <si>
    <t>Муфта</t>
  </si>
  <si>
    <t>Передача</t>
  </si>
  <si>
    <t>КПД от</t>
  </si>
  <si>
    <t>КПД до</t>
  </si>
  <si>
    <t>Прямозубая</t>
  </si>
  <si>
    <t>Планетарная 1</t>
  </si>
  <si>
    <t>Планетарная 2</t>
  </si>
  <si>
    <t>Волновая</t>
  </si>
  <si>
    <t>Червячная (&gt;30)</t>
  </si>
  <si>
    <t>Червячная (14-30)</t>
  </si>
  <si>
    <t>Червячная (8-14)</t>
  </si>
  <si>
    <t>Ременная</t>
  </si>
  <si>
    <t>Цепная</t>
  </si>
  <si>
    <t>Ширина от/до</t>
  </si>
  <si>
    <t>Диаметр</t>
  </si>
  <si>
    <t>Подходит</t>
  </si>
  <si>
    <t>Скорость до</t>
  </si>
  <si>
    <t>ГОСТ 22647 (ленточный транспортёр)</t>
  </si>
  <si>
    <t>Передаточное отношение</t>
  </si>
  <si>
    <t>Частота барабана</t>
  </si>
  <si>
    <t>Параметры барабана</t>
  </si>
  <si>
    <t>Частота двигателя, КПД</t>
  </si>
  <si>
    <t>Передаточное от/до</t>
  </si>
  <si>
    <t>Прямозубая 1</t>
  </si>
  <si>
    <t>Прямозубая 2</t>
  </si>
  <si>
    <t>Коническо-цилиндрический</t>
  </si>
  <si>
    <t>Червячная 1</t>
  </si>
  <si>
    <t>Коническая 1</t>
  </si>
  <si>
    <t>Коническая</t>
  </si>
  <si>
    <t>КПД без редуктора и мотора:</t>
  </si>
  <si>
    <t>Предварительное КПД редуктора</t>
  </si>
  <si>
    <t>Передачи отсортированы по возрастанию КПД</t>
  </si>
  <si>
    <t>Цифра в передаче указывает количество ступеней</t>
  </si>
  <si>
    <t>Потребляемая мощность [кВт]</t>
  </si>
  <si>
    <t>Мощность двигателя [кВт]</t>
  </si>
  <si>
    <t>Максимум:</t>
  </si>
  <si>
    <t>Мощность</t>
  </si>
  <si>
    <t>-</t>
  </si>
  <si>
    <t>71А2</t>
  </si>
  <si>
    <t>71B2</t>
  </si>
  <si>
    <t>80A2</t>
  </si>
  <si>
    <t>90L2</t>
  </si>
  <si>
    <t>100S2</t>
  </si>
  <si>
    <t>100L2</t>
  </si>
  <si>
    <t>112M2</t>
  </si>
  <si>
    <t>132M2</t>
  </si>
  <si>
    <t>160S2</t>
  </si>
  <si>
    <t>160M2</t>
  </si>
  <si>
    <t>180S2</t>
  </si>
  <si>
    <t>180M2</t>
  </si>
  <si>
    <t>Частота</t>
  </si>
  <si>
    <t>макс/ном</t>
  </si>
  <si>
    <t>Тип</t>
  </si>
  <si>
    <t>71А4</t>
  </si>
  <si>
    <t>71B4</t>
  </si>
  <si>
    <t>80A4</t>
  </si>
  <si>
    <t>90L4</t>
  </si>
  <si>
    <t>100S4</t>
  </si>
  <si>
    <t>100L4</t>
  </si>
  <si>
    <t>112M4</t>
  </si>
  <si>
    <t>132S4</t>
  </si>
  <si>
    <t>132M4</t>
  </si>
  <si>
    <t>160S4</t>
  </si>
  <si>
    <t>160M4</t>
  </si>
  <si>
    <t>180S4</t>
  </si>
  <si>
    <t>180M4</t>
  </si>
  <si>
    <t>80B4</t>
  </si>
  <si>
    <t>80B2</t>
  </si>
  <si>
    <t>132S6</t>
  </si>
  <si>
    <t>132M6</t>
  </si>
  <si>
    <t>160S6</t>
  </si>
  <si>
    <t>132M8</t>
  </si>
  <si>
    <t>160S8</t>
  </si>
  <si>
    <t>160M8</t>
  </si>
  <si>
    <t>Мотор</t>
  </si>
  <si>
    <t>Редуктор</t>
  </si>
  <si>
    <t>подшипники</t>
  </si>
  <si>
    <t>Подшипники</t>
  </si>
  <si>
    <t>Частота мотора</t>
  </si>
  <si>
    <t>Момент барабана</t>
  </si>
  <si>
    <t>Момент двигателя</t>
  </si>
  <si>
    <t>Мощность требуемая</t>
  </si>
  <si>
    <t>Н*м</t>
  </si>
  <si>
    <t>Выбран:</t>
  </si>
  <si>
    <t>?</t>
  </si>
  <si>
    <t>Перегрузка мотора</t>
  </si>
  <si>
    <t>Перегрузка максимальная</t>
  </si>
  <si>
    <t>Угловая скорость мотора</t>
  </si>
  <si>
    <t>1/мин</t>
  </si>
  <si>
    <t>об/с</t>
  </si>
  <si>
    <t>Диаметр барабана</t>
  </si>
  <si>
    <t>кВт</t>
  </si>
  <si>
    <t>КПД механический</t>
  </si>
  <si>
    <t>Тип передачи</t>
  </si>
  <si>
    <t>КПД суммарный</t>
  </si>
  <si>
    <t>КПД (при 0)</t>
  </si>
  <si>
    <t>Наклон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</si>
</sst>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Border="1"/>
    <xf numFmtId="0" fontId="0" fillId="0" borderId="5" xfId="0" quotePrefix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" xfId="0" applyBorder="1"/>
    <xf numFmtId="0" fontId="0" fillId="0" borderId="6" xfId="0" applyBorder="1"/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Border="1" applyAlignment="1"/>
    <xf numFmtId="0" fontId="0" fillId="0" borderId="1" xfId="0" applyBorder="1" applyAlignment="1"/>
    <xf numFmtId="0" fontId="0" fillId="0" borderId="2" xfId="0" applyBorder="1" applyAlignment="1"/>
    <xf numFmtId="2" fontId="0" fillId="2" borderId="2" xfId="0" applyNumberFormat="1" applyFill="1" applyBorder="1"/>
    <xf numFmtId="2" fontId="0" fillId="2" borderId="0" xfId="0" applyNumberFormat="1" applyFill="1" applyBorder="1"/>
    <xf numFmtId="0" fontId="0" fillId="2" borderId="0" xfId="0" applyFill="1" applyBorder="1"/>
    <xf numFmtId="0" fontId="0" fillId="2" borderId="7" xfId="0" applyFill="1" applyBorder="1"/>
    <xf numFmtId="0" fontId="0" fillId="0" borderId="5" xfId="0" applyFill="1" applyBorder="1"/>
    <xf numFmtId="0" fontId="0" fillId="0" borderId="0" xfId="0" quotePrefix="1" applyBorder="1"/>
    <xf numFmtId="0" fontId="0" fillId="0" borderId="0" xfId="0" applyFill="1" applyBorder="1"/>
    <xf numFmtId="0" fontId="0" fillId="0" borderId="4" xfId="0" quotePrefix="1" applyBorder="1"/>
    <xf numFmtId="0" fontId="0" fillId="0" borderId="6" xfId="0" applyBorder="1" applyAlignment="1"/>
    <xf numFmtId="0" fontId="0" fillId="0" borderId="7" xfId="0" applyBorder="1" applyAlignment="1"/>
    <xf numFmtId="2" fontId="0" fillId="3" borderId="4" xfId="0" applyNumberFormat="1" applyFill="1" applyBorder="1" applyAlignment="1">
      <alignment horizontal="center" vertical="center"/>
    </xf>
    <xf numFmtId="0" fontId="0" fillId="3" borderId="0" xfId="0" applyFill="1" applyBorder="1"/>
    <xf numFmtId="164" fontId="0" fillId="0" borderId="0" xfId="0" applyNumberFormat="1" applyFill="1" applyBorder="1"/>
    <xf numFmtId="2" fontId="0" fillId="0" borderId="0" xfId="0" applyNumberFormat="1" applyBorder="1" applyAlignment="1"/>
    <xf numFmtId="0" fontId="0" fillId="0" borderId="3" xfId="0" applyFill="1" applyBorder="1"/>
    <xf numFmtId="2" fontId="0" fillId="0" borderId="0" xfId="0" applyNumberFormat="1" applyBorder="1"/>
    <xf numFmtId="2" fontId="0" fillId="3" borderId="0" xfId="0" applyNumberFormat="1" applyFill="1" applyBorder="1"/>
    <xf numFmtId="0" fontId="0" fillId="4" borderId="10" xfId="0" applyFill="1" applyBorder="1"/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0" xfId="0" applyAlignment="1">
      <alignment horizontal="center"/>
    </xf>
    <xf numFmtId="2" fontId="0" fillId="0" borderId="2" xfId="0" applyNumberFormat="1" applyBorder="1"/>
    <xf numFmtId="2" fontId="0" fillId="0" borderId="7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8CC72-8A25-4698-8914-B1180636D74D}">
  <dimension ref="A1:AK69"/>
  <sheetViews>
    <sheetView tabSelected="1" topLeftCell="A34" workbookViewId="0">
      <selection activeCell="AC50" sqref="AC50"/>
    </sheetView>
  </sheetViews>
  <sheetFormatPr defaultRowHeight="14.4" x14ac:dyDescent="0.3"/>
  <cols>
    <col min="1" max="28" width="6.77734375" customWidth="1"/>
  </cols>
  <sheetData>
    <row r="1" spans="1:37" x14ac:dyDescent="0.3">
      <c r="A1" s="42" t="s">
        <v>10</v>
      </c>
      <c r="B1" s="43"/>
      <c r="C1" s="43"/>
      <c r="D1" s="43"/>
      <c r="E1" s="43"/>
      <c r="F1" s="43"/>
      <c r="G1" s="6"/>
    </row>
    <row r="2" spans="1:37" x14ac:dyDescent="0.3">
      <c r="A2" s="42" t="s">
        <v>0</v>
      </c>
      <c r="B2" s="43"/>
      <c r="C2" s="43"/>
      <c r="D2" s="43"/>
      <c r="E2" s="20">
        <v>4</v>
      </c>
      <c r="F2" s="8" t="s">
        <v>4</v>
      </c>
      <c r="G2" s="6"/>
      <c r="I2" s="42" t="s">
        <v>61</v>
      </c>
      <c r="J2" s="43"/>
      <c r="K2" s="43"/>
      <c r="L2" s="43"/>
      <c r="M2" s="43">
        <f>E2*E3</f>
        <v>6.4</v>
      </c>
      <c r="N2" s="44"/>
      <c r="Q2" s="42" t="s">
        <v>29</v>
      </c>
      <c r="R2" s="43"/>
      <c r="S2" s="43"/>
      <c r="T2" s="8" t="s">
        <v>30</v>
      </c>
      <c r="U2" s="8" t="s">
        <v>31</v>
      </c>
      <c r="V2" s="6" t="s">
        <v>27</v>
      </c>
      <c r="AC2" s="42" t="s">
        <v>29</v>
      </c>
      <c r="AD2" s="43"/>
      <c r="AE2" s="43"/>
      <c r="AF2" s="8" t="s">
        <v>50</v>
      </c>
      <c r="AG2" s="8"/>
      <c r="AH2" s="8" t="s">
        <v>30</v>
      </c>
      <c r="AI2" s="8" t="s">
        <v>31</v>
      </c>
      <c r="AJ2" s="8" t="s">
        <v>123</v>
      </c>
      <c r="AK2" s="34" t="s">
        <v>124</v>
      </c>
    </row>
    <row r="3" spans="1:37" x14ac:dyDescent="0.3">
      <c r="A3" s="39" t="s">
        <v>1</v>
      </c>
      <c r="B3" s="38"/>
      <c r="C3" s="38"/>
      <c r="D3" s="38"/>
      <c r="E3" s="21">
        <v>1.6</v>
      </c>
      <c r="F3" s="1" t="s">
        <v>5</v>
      </c>
      <c r="G3" s="3"/>
      <c r="I3" s="39" t="s">
        <v>23</v>
      </c>
      <c r="J3" s="38"/>
      <c r="K3" s="38"/>
      <c r="L3" s="38"/>
      <c r="M3" s="38"/>
      <c r="N3" s="45"/>
      <c r="Q3" s="39" t="s">
        <v>32</v>
      </c>
      <c r="R3" s="38"/>
      <c r="S3" s="38"/>
      <c r="T3" s="1">
        <v>0.96</v>
      </c>
      <c r="U3" s="1">
        <v>0.98</v>
      </c>
      <c r="V3" s="3">
        <f>AVERAGE(T3:U3)</f>
        <v>0.97</v>
      </c>
      <c r="AC3" s="39" t="s">
        <v>51</v>
      </c>
      <c r="AD3" s="38"/>
      <c r="AE3" s="38"/>
      <c r="AF3" s="1">
        <v>1.6</v>
      </c>
      <c r="AG3" s="1">
        <v>8</v>
      </c>
      <c r="AH3" s="1">
        <f t="shared" ref="AH3:AI5" si="0">T3</f>
        <v>0.96</v>
      </c>
      <c r="AI3" s="1">
        <f t="shared" si="0"/>
        <v>0.98</v>
      </c>
      <c r="AJ3" s="1">
        <f>AI3+AK3*AF3</f>
        <v>0.98499999999999999</v>
      </c>
      <c r="AK3" s="3">
        <f>(AI3-AH3)/(AG3-AF3)</f>
        <v>3.1250000000000028E-3</v>
      </c>
    </row>
    <row r="4" spans="1:37" x14ac:dyDescent="0.3">
      <c r="A4" s="39" t="s">
        <v>3</v>
      </c>
      <c r="B4" s="38"/>
      <c r="C4" s="38"/>
      <c r="D4" s="38"/>
      <c r="E4" s="49" t="s">
        <v>2</v>
      </c>
      <c r="F4" s="49"/>
      <c r="G4" s="50"/>
      <c r="I4" s="39" t="s">
        <v>24</v>
      </c>
      <c r="J4" s="38"/>
      <c r="K4" s="38"/>
      <c r="L4" s="38"/>
      <c r="M4" s="38"/>
      <c r="N4" s="45"/>
      <c r="Q4" s="39" t="s">
        <v>56</v>
      </c>
      <c r="R4" s="38"/>
      <c r="S4" s="38"/>
      <c r="T4" s="1">
        <v>0.95</v>
      </c>
      <c r="U4" s="1">
        <v>0.97</v>
      </c>
      <c r="V4" s="3">
        <f t="shared" ref="V4:V12" si="1">AVERAGE(T4:U4)</f>
        <v>0.96</v>
      </c>
      <c r="AC4" s="39" t="s">
        <v>55</v>
      </c>
      <c r="AD4" s="38"/>
      <c r="AE4" s="38"/>
      <c r="AF4" s="1">
        <v>1</v>
      </c>
      <c r="AG4" s="1">
        <v>6.3</v>
      </c>
      <c r="AH4" s="1">
        <f t="shared" si="0"/>
        <v>0.95</v>
      </c>
      <c r="AI4" s="1">
        <f t="shared" si="0"/>
        <v>0.97</v>
      </c>
      <c r="AJ4" s="1">
        <f t="shared" ref="AJ4:AJ10" si="2">AI4+AK4*AF4</f>
        <v>0.97377358490566035</v>
      </c>
      <c r="AK4" s="3">
        <f t="shared" ref="AK4:AK10" si="3">(AI4-AH4)/(AG4-AF4)</f>
        <v>3.7735849056603809E-3</v>
      </c>
    </row>
    <row r="5" spans="1:37" x14ac:dyDescent="0.3">
      <c r="A5" s="39" t="s">
        <v>6</v>
      </c>
      <c r="B5" s="38"/>
      <c r="C5" s="38"/>
      <c r="D5" s="38"/>
      <c r="E5" s="22">
        <v>10000</v>
      </c>
      <c r="F5" s="1" t="s">
        <v>11</v>
      </c>
      <c r="G5" s="3"/>
      <c r="I5" s="7"/>
      <c r="J5" s="1"/>
      <c r="K5" s="38" t="s">
        <v>25</v>
      </c>
      <c r="L5" s="38"/>
      <c r="M5" s="38" t="s">
        <v>27</v>
      </c>
      <c r="N5" s="45"/>
      <c r="Q5" s="39" t="s">
        <v>33</v>
      </c>
      <c r="R5" s="38"/>
      <c r="S5" s="38"/>
      <c r="T5" s="1">
        <v>0.95</v>
      </c>
      <c r="U5" s="1">
        <v>0.97</v>
      </c>
      <c r="V5" s="3">
        <f t="shared" si="1"/>
        <v>0.96</v>
      </c>
      <c r="AC5" s="39" t="s">
        <v>33</v>
      </c>
      <c r="AD5" s="38"/>
      <c r="AE5" s="38"/>
      <c r="AF5" s="1">
        <v>3.15</v>
      </c>
      <c r="AG5" s="1">
        <v>8</v>
      </c>
      <c r="AH5" s="1">
        <f t="shared" si="0"/>
        <v>0.95</v>
      </c>
      <c r="AI5" s="1">
        <f t="shared" si="0"/>
        <v>0.97</v>
      </c>
      <c r="AJ5" s="1">
        <f t="shared" si="2"/>
        <v>0.98298969072164943</v>
      </c>
      <c r="AK5" s="3">
        <f t="shared" si="3"/>
        <v>4.1237113402061891E-3</v>
      </c>
    </row>
    <row r="6" spans="1:37" x14ac:dyDescent="0.3">
      <c r="A6" s="39" t="s">
        <v>7</v>
      </c>
      <c r="B6" s="38"/>
      <c r="C6" s="38"/>
      <c r="D6" s="38"/>
      <c r="E6" s="22">
        <v>0.9</v>
      </c>
      <c r="F6" s="1"/>
      <c r="G6" s="3"/>
      <c r="I6" s="39" t="s">
        <v>26</v>
      </c>
      <c r="J6" s="38"/>
      <c r="K6" s="49">
        <v>2</v>
      </c>
      <c r="L6" s="49"/>
      <c r="M6" s="38">
        <v>0.99</v>
      </c>
      <c r="N6" s="45"/>
      <c r="Q6" s="39" t="s">
        <v>34</v>
      </c>
      <c r="R6" s="38"/>
      <c r="S6" s="38"/>
      <c r="T6" s="1">
        <v>0.92</v>
      </c>
      <c r="U6" s="1">
        <v>0.96</v>
      </c>
      <c r="V6" s="3">
        <f t="shared" si="1"/>
        <v>0.94</v>
      </c>
      <c r="AC6" s="39" t="s">
        <v>52</v>
      </c>
      <c r="AD6" s="38"/>
      <c r="AE6" s="38"/>
      <c r="AF6" s="1">
        <v>12.5</v>
      </c>
      <c r="AG6" s="1">
        <v>31.5</v>
      </c>
      <c r="AH6" s="1">
        <f>T3*T3</f>
        <v>0.92159999999999997</v>
      </c>
      <c r="AI6" s="1">
        <f>U3*U3</f>
        <v>0.96039999999999992</v>
      </c>
      <c r="AJ6" s="1">
        <f t="shared" si="2"/>
        <v>0.98592631578947354</v>
      </c>
      <c r="AK6" s="3">
        <f t="shared" si="3"/>
        <v>2.042105263157892E-3</v>
      </c>
    </row>
    <row r="7" spans="1:37" x14ac:dyDescent="0.3">
      <c r="A7" s="39" t="s">
        <v>8</v>
      </c>
      <c r="B7" s="38"/>
      <c r="C7" s="38"/>
      <c r="D7" s="38"/>
      <c r="E7" s="22">
        <v>3</v>
      </c>
      <c r="F7" s="1"/>
      <c r="G7" s="3"/>
      <c r="I7" s="39" t="s">
        <v>28</v>
      </c>
      <c r="J7" s="38"/>
      <c r="K7" s="49">
        <v>2</v>
      </c>
      <c r="L7" s="49"/>
      <c r="M7" s="38">
        <v>0.98</v>
      </c>
      <c r="N7" s="45"/>
      <c r="Q7" s="39" t="s">
        <v>35</v>
      </c>
      <c r="R7" s="38"/>
      <c r="S7" s="38"/>
      <c r="T7" s="1">
        <v>0.72</v>
      </c>
      <c r="U7" s="1">
        <v>0.82</v>
      </c>
      <c r="V7" s="3">
        <f t="shared" si="1"/>
        <v>0.77</v>
      </c>
      <c r="AC7" s="39" t="s">
        <v>34</v>
      </c>
      <c r="AD7" s="38"/>
      <c r="AE7" s="38"/>
      <c r="AF7" s="1">
        <v>16</v>
      </c>
      <c r="AG7" s="1">
        <v>63</v>
      </c>
      <c r="AH7" s="1">
        <f>T6</f>
        <v>0.92</v>
      </c>
      <c r="AI7" s="1">
        <f>U6</f>
        <v>0.96</v>
      </c>
      <c r="AJ7" s="1">
        <f t="shared" si="2"/>
        <v>0.97361702127659566</v>
      </c>
      <c r="AK7" s="3">
        <f t="shared" si="3"/>
        <v>8.5106382978723241E-4</v>
      </c>
    </row>
    <row r="8" spans="1:37" x14ac:dyDescent="0.3">
      <c r="A8" s="40" t="s">
        <v>9</v>
      </c>
      <c r="B8" s="41"/>
      <c r="C8" s="41"/>
      <c r="D8" s="41"/>
      <c r="E8" s="23">
        <v>2.2000000000000002</v>
      </c>
      <c r="F8" s="4"/>
      <c r="G8" s="5"/>
      <c r="I8" s="39" t="s">
        <v>29</v>
      </c>
      <c r="J8" s="38"/>
      <c r="K8" s="49">
        <v>0</v>
      </c>
      <c r="L8" s="49"/>
      <c r="M8" s="49">
        <f>V11</f>
        <v>0.95</v>
      </c>
      <c r="N8" s="50"/>
      <c r="Q8" s="39" t="s">
        <v>36</v>
      </c>
      <c r="R8" s="38"/>
      <c r="S8" s="38"/>
      <c r="T8" s="1">
        <v>0.7</v>
      </c>
      <c r="U8" s="1">
        <v>0.8</v>
      </c>
      <c r="V8" s="3">
        <f t="shared" si="1"/>
        <v>0.75</v>
      </c>
      <c r="AC8" s="39" t="s">
        <v>53</v>
      </c>
      <c r="AD8" s="38"/>
      <c r="AE8" s="38"/>
      <c r="AF8" s="1">
        <v>10</v>
      </c>
      <c r="AG8" s="1">
        <v>30</v>
      </c>
      <c r="AH8" s="1">
        <f>T4*T3</f>
        <v>0.91199999999999992</v>
      </c>
      <c r="AI8" s="1">
        <f>U4*U3</f>
        <v>0.9506</v>
      </c>
      <c r="AJ8" s="1">
        <f t="shared" si="2"/>
        <v>0.96989999999999998</v>
      </c>
      <c r="AK8" s="3">
        <f t="shared" si="3"/>
        <v>1.930000000000004E-3</v>
      </c>
    </row>
    <row r="9" spans="1:37" x14ac:dyDescent="0.3">
      <c r="A9" s="39" t="s">
        <v>14</v>
      </c>
      <c r="B9" s="38"/>
      <c r="C9" s="38"/>
      <c r="D9" s="38"/>
      <c r="E9" s="38"/>
      <c r="F9" s="38"/>
      <c r="G9" s="3"/>
      <c r="I9" s="39" t="s">
        <v>57</v>
      </c>
      <c r="J9" s="38"/>
      <c r="K9" s="38"/>
      <c r="L9" s="38"/>
      <c r="M9" s="55">
        <f>M7^K7*M6^K6*M8^K8</f>
        <v>0.94128803999999988</v>
      </c>
      <c r="N9" s="56"/>
      <c r="Q9" s="39" t="s">
        <v>37</v>
      </c>
      <c r="R9" s="38"/>
      <c r="S9" s="38"/>
      <c r="T9" s="1">
        <v>0.75</v>
      </c>
      <c r="U9" s="1">
        <v>0.85</v>
      </c>
      <c r="V9" s="3">
        <f t="shared" si="1"/>
        <v>0.8</v>
      </c>
      <c r="AC9" s="39" t="s">
        <v>54</v>
      </c>
      <c r="AD9" s="38"/>
      <c r="AE9" s="38"/>
      <c r="AF9" s="1">
        <v>8</v>
      </c>
      <c r="AG9" s="1">
        <v>63</v>
      </c>
      <c r="AH9" s="1">
        <f>T8</f>
        <v>0.7</v>
      </c>
      <c r="AI9" s="1">
        <f>U10</f>
        <v>0.9</v>
      </c>
      <c r="AJ9" s="1">
        <f t="shared" si="2"/>
        <v>0.92909090909090908</v>
      </c>
      <c r="AK9" s="3">
        <f t="shared" si="3"/>
        <v>3.6363636363636377E-3</v>
      </c>
    </row>
    <row r="10" spans="1:37" x14ac:dyDescent="0.3">
      <c r="A10" s="9" t="s">
        <v>12</v>
      </c>
      <c r="B10" s="10"/>
      <c r="C10" s="10"/>
      <c r="D10" s="10"/>
      <c r="E10" s="10"/>
      <c r="F10" s="10"/>
      <c r="G10" s="11"/>
      <c r="I10" s="39" t="s">
        <v>58</v>
      </c>
      <c r="J10" s="38"/>
      <c r="K10" s="38"/>
      <c r="L10" s="38"/>
      <c r="M10" s="49">
        <v>0.97</v>
      </c>
      <c r="N10" s="50"/>
      <c r="Q10" s="39" t="s">
        <v>38</v>
      </c>
      <c r="R10" s="38"/>
      <c r="S10" s="38"/>
      <c r="T10" s="1">
        <v>0.8</v>
      </c>
      <c r="U10" s="1">
        <v>0.9</v>
      </c>
      <c r="V10" s="3">
        <f t="shared" si="1"/>
        <v>0.85000000000000009</v>
      </c>
      <c r="AC10" s="40" t="s">
        <v>35</v>
      </c>
      <c r="AD10" s="41"/>
      <c r="AE10" s="41"/>
      <c r="AF10" s="4">
        <v>70</v>
      </c>
      <c r="AG10" s="4">
        <v>320</v>
      </c>
      <c r="AH10" s="4">
        <f>T7</f>
        <v>0.72</v>
      </c>
      <c r="AI10" s="4">
        <f>U7</f>
        <v>0.82</v>
      </c>
      <c r="AJ10" s="4">
        <f t="shared" si="2"/>
        <v>0.84799999999999998</v>
      </c>
      <c r="AK10" s="5">
        <f t="shared" si="3"/>
        <v>3.9999999999999991E-4</v>
      </c>
    </row>
    <row r="11" spans="1:37" x14ac:dyDescent="0.3">
      <c r="A11" s="40" t="s">
        <v>13</v>
      </c>
      <c r="B11" s="41"/>
      <c r="C11" s="41"/>
      <c r="D11" s="41"/>
      <c r="E11" s="41"/>
      <c r="F11" s="41"/>
      <c r="G11" s="5"/>
      <c r="I11" s="40" t="s">
        <v>62</v>
      </c>
      <c r="J11" s="41"/>
      <c r="K11" s="41"/>
      <c r="L11" s="41"/>
      <c r="M11" s="51">
        <f>M2/M10/M9</f>
        <v>7.0094783572623509</v>
      </c>
      <c r="N11" s="52"/>
      <c r="Q11" s="39" t="s">
        <v>39</v>
      </c>
      <c r="R11" s="38"/>
      <c r="S11" s="38"/>
      <c r="T11" s="1">
        <v>0.94</v>
      </c>
      <c r="U11" s="1">
        <v>0.96</v>
      </c>
      <c r="V11" s="3">
        <f t="shared" si="1"/>
        <v>0.95</v>
      </c>
      <c r="AC11" s="17"/>
      <c r="AD11" s="17"/>
      <c r="AE11" s="17"/>
      <c r="AF11" s="1"/>
      <c r="AG11" s="1"/>
      <c r="AH11" s="1"/>
    </row>
    <row r="12" spans="1:37" x14ac:dyDescent="0.3">
      <c r="A12" s="42" t="s">
        <v>17</v>
      </c>
      <c r="B12" s="43"/>
      <c r="C12" s="43"/>
      <c r="D12" s="43"/>
      <c r="E12" s="43" t="s">
        <v>18</v>
      </c>
      <c r="F12" s="43"/>
      <c r="G12" s="44"/>
      <c r="Q12" s="40" t="s">
        <v>40</v>
      </c>
      <c r="R12" s="41"/>
      <c r="S12" s="41"/>
      <c r="T12" s="4">
        <v>0.92</v>
      </c>
      <c r="U12" s="4">
        <v>0.95</v>
      </c>
      <c r="V12" s="5">
        <f t="shared" si="1"/>
        <v>0.93500000000000005</v>
      </c>
      <c r="AC12" t="s">
        <v>59</v>
      </c>
    </row>
    <row r="13" spans="1:37" x14ac:dyDescent="0.3">
      <c r="A13" s="39" t="s">
        <v>19</v>
      </c>
      <c r="B13" s="38"/>
      <c r="C13" s="38"/>
      <c r="D13" s="38"/>
      <c r="E13" s="22">
        <v>400</v>
      </c>
      <c r="F13" s="1" t="s">
        <v>16</v>
      </c>
      <c r="G13" s="2" t="s">
        <v>20</v>
      </c>
      <c r="AC13" t="s">
        <v>60</v>
      </c>
    </row>
    <row r="14" spans="1:37" x14ac:dyDescent="0.3">
      <c r="A14" s="39" t="s">
        <v>15</v>
      </c>
      <c r="B14" s="38"/>
      <c r="C14" s="38"/>
      <c r="D14" s="38"/>
      <c r="E14" s="22">
        <v>400</v>
      </c>
      <c r="F14" s="1" t="s">
        <v>16</v>
      </c>
      <c r="G14" s="3"/>
    </row>
    <row r="15" spans="1:37" x14ac:dyDescent="0.3">
      <c r="A15" s="40" t="s">
        <v>21</v>
      </c>
      <c r="B15" s="41"/>
      <c r="C15" s="41"/>
      <c r="D15" s="41"/>
      <c r="E15" s="23">
        <v>300</v>
      </c>
      <c r="F15" s="4" t="s">
        <v>22</v>
      </c>
      <c r="G15" s="5"/>
    </row>
    <row r="19" spans="9:26" x14ac:dyDescent="0.3">
      <c r="I19" s="12"/>
      <c r="J19" s="8"/>
      <c r="K19" s="42">
        <v>3000</v>
      </c>
      <c r="L19" s="43"/>
      <c r="M19" s="43"/>
      <c r="N19" s="44"/>
      <c r="O19" s="43">
        <v>1500</v>
      </c>
      <c r="P19" s="43"/>
      <c r="Q19" s="43"/>
      <c r="R19" s="43"/>
      <c r="S19" s="42">
        <v>1000</v>
      </c>
      <c r="T19" s="43"/>
      <c r="U19" s="43"/>
      <c r="V19" s="44"/>
      <c r="W19" s="43">
        <v>750</v>
      </c>
      <c r="X19" s="43"/>
      <c r="Y19" s="43"/>
      <c r="Z19" s="44"/>
    </row>
    <row r="20" spans="9:26" x14ac:dyDescent="0.3">
      <c r="I20" s="39" t="s">
        <v>64</v>
      </c>
      <c r="J20" s="38"/>
      <c r="K20" s="13" t="s">
        <v>80</v>
      </c>
      <c r="L20" s="4" t="s">
        <v>78</v>
      </c>
      <c r="M20" s="4" t="s">
        <v>79</v>
      </c>
      <c r="N20" s="5" t="s">
        <v>27</v>
      </c>
      <c r="O20" s="4" t="s">
        <v>80</v>
      </c>
      <c r="P20" s="4" t="s">
        <v>78</v>
      </c>
      <c r="Q20" s="4" t="s">
        <v>79</v>
      </c>
      <c r="R20" s="4" t="s">
        <v>27</v>
      </c>
      <c r="S20" s="13" t="s">
        <v>80</v>
      </c>
      <c r="T20" s="4" t="s">
        <v>78</v>
      </c>
      <c r="U20" s="4" t="s">
        <v>79</v>
      </c>
      <c r="V20" s="5" t="s">
        <v>27</v>
      </c>
      <c r="W20" s="4" t="s">
        <v>80</v>
      </c>
      <c r="X20" s="4" t="s">
        <v>78</v>
      </c>
      <c r="Y20" s="4" t="s">
        <v>79</v>
      </c>
      <c r="Z20" s="5" t="s">
        <v>27</v>
      </c>
    </row>
    <row r="21" spans="9:26" x14ac:dyDescent="0.3">
      <c r="I21" s="39">
        <v>0.37</v>
      </c>
      <c r="J21" s="38"/>
      <c r="K21" s="27" t="s">
        <v>65</v>
      </c>
      <c r="L21" s="25">
        <v>0</v>
      </c>
      <c r="M21" s="1">
        <v>0</v>
      </c>
      <c r="N21" s="3">
        <v>0</v>
      </c>
      <c r="O21" s="25" t="s">
        <v>65</v>
      </c>
      <c r="P21" s="25">
        <v>0</v>
      </c>
      <c r="Q21" s="1">
        <v>0</v>
      </c>
      <c r="R21" s="1">
        <v>0</v>
      </c>
      <c r="S21" s="7"/>
      <c r="T21" s="1"/>
      <c r="U21" s="1"/>
      <c r="V21" s="3"/>
      <c r="W21" s="1"/>
      <c r="X21" s="1"/>
      <c r="Y21" s="1"/>
      <c r="Z21" s="3"/>
    </row>
    <row r="22" spans="9:26" x14ac:dyDescent="0.3">
      <c r="I22" s="39">
        <v>0.55000000000000004</v>
      </c>
      <c r="J22" s="38"/>
      <c r="K22" s="27" t="s">
        <v>65</v>
      </c>
      <c r="L22" s="25">
        <v>0</v>
      </c>
      <c r="M22" s="1">
        <v>0</v>
      </c>
      <c r="N22" s="3">
        <v>0</v>
      </c>
      <c r="O22" s="1" t="s">
        <v>81</v>
      </c>
      <c r="P22" s="1">
        <v>1357</v>
      </c>
      <c r="Q22" s="1">
        <v>2.2000000000000002</v>
      </c>
      <c r="R22" s="1"/>
      <c r="S22" s="7"/>
      <c r="T22" s="1"/>
      <c r="U22" s="1"/>
      <c r="V22" s="3"/>
      <c r="W22" s="1"/>
      <c r="X22" s="1"/>
      <c r="Y22" s="1"/>
      <c r="Z22" s="3"/>
    </row>
    <row r="23" spans="9:26" x14ac:dyDescent="0.3">
      <c r="I23" s="39">
        <v>0.75</v>
      </c>
      <c r="J23" s="38"/>
      <c r="K23" s="7" t="s">
        <v>66</v>
      </c>
      <c r="L23" s="1">
        <v>2820</v>
      </c>
      <c r="M23" s="1">
        <v>2.2000000000000002</v>
      </c>
      <c r="N23" s="3">
        <v>0.75</v>
      </c>
      <c r="O23" s="1" t="s">
        <v>82</v>
      </c>
      <c r="P23" s="1">
        <v>1350</v>
      </c>
      <c r="Q23" s="1">
        <v>2.2000000000000002</v>
      </c>
      <c r="R23" s="1"/>
      <c r="S23" s="7"/>
      <c r="T23" s="1"/>
      <c r="U23" s="1"/>
      <c r="V23" s="3"/>
      <c r="W23" s="1"/>
      <c r="X23" s="1"/>
      <c r="Y23" s="1"/>
      <c r="Z23" s="3"/>
    </row>
    <row r="24" spans="9:26" x14ac:dyDescent="0.3">
      <c r="I24" s="39">
        <v>1.1000000000000001</v>
      </c>
      <c r="J24" s="38"/>
      <c r="K24" s="7" t="s">
        <v>67</v>
      </c>
      <c r="L24" s="1">
        <v>2805</v>
      </c>
      <c r="M24" s="1">
        <v>2.2000000000000002</v>
      </c>
      <c r="N24" s="24">
        <v>0.77</v>
      </c>
      <c r="O24" s="1" t="s">
        <v>83</v>
      </c>
      <c r="P24" s="1">
        <v>1395</v>
      </c>
      <c r="Q24" s="1">
        <v>2.2000000000000002</v>
      </c>
      <c r="R24" s="1"/>
      <c r="S24" s="7"/>
      <c r="T24" s="1"/>
      <c r="U24" s="1"/>
      <c r="V24" s="3"/>
      <c r="W24" s="1"/>
      <c r="X24" s="1"/>
      <c r="Y24" s="1"/>
      <c r="Z24" s="3"/>
    </row>
    <row r="25" spans="9:26" x14ac:dyDescent="0.3">
      <c r="I25" s="39">
        <v>1.5</v>
      </c>
      <c r="J25" s="38"/>
      <c r="K25" s="7" t="s">
        <v>68</v>
      </c>
      <c r="L25" s="1">
        <v>2850</v>
      </c>
      <c r="M25" s="1">
        <v>2.2000000000000002</v>
      </c>
      <c r="N25" s="24">
        <v>0.78500000000000003</v>
      </c>
      <c r="O25" s="1" t="s">
        <v>94</v>
      </c>
      <c r="P25" s="1">
        <v>1395</v>
      </c>
      <c r="Q25" s="1">
        <v>2.2000000000000002</v>
      </c>
      <c r="R25" s="1"/>
      <c r="S25" s="7"/>
      <c r="T25" s="1"/>
      <c r="U25" s="1"/>
      <c r="V25" s="3"/>
      <c r="W25" s="1"/>
      <c r="X25" s="1"/>
      <c r="Y25" s="1"/>
      <c r="Z25" s="3"/>
    </row>
    <row r="26" spans="9:26" x14ac:dyDescent="0.3">
      <c r="I26" s="39">
        <v>2.2000000000000002</v>
      </c>
      <c r="J26" s="38"/>
      <c r="K26" s="7" t="s">
        <v>95</v>
      </c>
      <c r="L26" s="1">
        <v>2850</v>
      </c>
      <c r="M26" s="1">
        <v>2.2000000000000002</v>
      </c>
      <c r="N26" s="24">
        <v>0.81</v>
      </c>
      <c r="O26" s="1" t="s">
        <v>84</v>
      </c>
      <c r="P26" s="1">
        <v>1395</v>
      </c>
      <c r="Q26" s="1">
        <v>2.2000000000000002</v>
      </c>
      <c r="R26" s="1"/>
      <c r="S26" s="7"/>
      <c r="T26" s="1"/>
      <c r="U26" s="1"/>
      <c r="V26" s="3"/>
      <c r="W26" s="1"/>
      <c r="X26" s="1"/>
      <c r="Y26" s="1"/>
      <c r="Z26" s="3"/>
    </row>
    <row r="27" spans="9:26" x14ac:dyDescent="0.3">
      <c r="I27" s="39">
        <v>3</v>
      </c>
      <c r="J27" s="38"/>
      <c r="K27" s="7" t="s">
        <v>69</v>
      </c>
      <c r="L27" s="1">
        <v>2850</v>
      </c>
      <c r="M27" s="1">
        <v>2.2000000000000002</v>
      </c>
      <c r="N27" s="3"/>
      <c r="O27" s="1" t="s">
        <v>85</v>
      </c>
      <c r="P27" s="1">
        <v>1410</v>
      </c>
      <c r="Q27" s="1">
        <v>2.2000000000000002</v>
      </c>
      <c r="R27" s="1"/>
      <c r="S27" s="7"/>
      <c r="T27" s="1"/>
      <c r="U27" s="1"/>
      <c r="V27" s="3"/>
      <c r="W27" s="1"/>
      <c r="X27" s="1"/>
      <c r="Y27" s="1"/>
      <c r="Z27" s="3"/>
    </row>
    <row r="28" spans="9:26" x14ac:dyDescent="0.3">
      <c r="I28" s="39">
        <v>4</v>
      </c>
      <c r="J28" s="38"/>
      <c r="K28" s="7" t="s">
        <v>70</v>
      </c>
      <c r="L28" s="1">
        <v>2850</v>
      </c>
      <c r="M28" s="1">
        <v>2.2000000000000002</v>
      </c>
      <c r="N28" s="3"/>
      <c r="O28" s="1" t="s">
        <v>86</v>
      </c>
      <c r="P28" s="1">
        <v>1410</v>
      </c>
      <c r="Q28" s="1">
        <v>2.2000000000000002</v>
      </c>
      <c r="R28" s="1"/>
      <c r="S28" s="7"/>
      <c r="T28" s="1"/>
      <c r="U28" s="1"/>
      <c r="V28" s="3"/>
      <c r="W28" s="1"/>
      <c r="X28" s="1"/>
      <c r="Y28" s="1"/>
      <c r="Z28" s="3"/>
    </row>
    <row r="29" spans="9:26" x14ac:dyDescent="0.3">
      <c r="I29" s="39">
        <v>5.5</v>
      </c>
      <c r="J29" s="38"/>
      <c r="K29" s="7" t="s">
        <v>71</v>
      </c>
      <c r="L29" s="1">
        <v>2850</v>
      </c>
      <c r="M29" s="1">
        <v>2.2000000000000002</v>
      </c>
      <c r="N29" s="24">
        <v>0.88</v>
      </c>
      <c r="O29" s="1" t="s">
        <v>87</v>
      </c>
      <c r="P29" s="1">
        <v>1432</v>
      </c>
      <c r="Q29" s="1">
        <v>2.2000000000000002</v>
      </c>
      <c r="R29" s="26">
        <v>0.86599999999999999</v>
      </c>
      <c r="S29" s="7" t="s">
        <v>96</v>
      </c>
      <c r="T29" s="26">
        <v>960</v>
      </c>
      <c r="U29" s="26">
        <v>2.2000000000000002</v>
      </c>
      <c r="V29" s="24">
        <v>0.85</v>
      </c>
      <c r="W29" s="1" t="s">
        <v>99</v>
      </c>
      <c r="X29" s="26">
        <v>712</v>
      </c>
      <c r="Y29" s="26">
        <v>2.2000000000000002</v>
      </c>
      <c r="Z29" s="3">
        <v>0.83</v>
      </c>
    </row>
    <row r="30" spans="9:26" x14ac:dyDescent="0.3">
      <c r="I30" s="39">
        <v>7.5</v>
      </c>
      <c r="J30" s="38"/>
      <c r="K30" s="7" t="s">
        <v>72</v>
      </c>
      <c r="L30" s="1">
        <v>2895</v>
      </c>
      <c r="M30" s="1">
        <v>2.2000000000000002</v>
      </c>
      <c r="N30" s="3">
        <v>0.87</v>
      </c>
      <c r="O30" s="1" t="s">
        <v>88</v>
      </c>
      <c r="P30" s="1">
        <v>1440</v>
      </c>
      <c r="Q30" s="1">
        <v>2.2000000000000002</v>
      </c>
      <c r="R30" s="26">
        <v>0.872</v>
      </c>
      <c r="S30" s="7" t="s">
        <v>97</v>
      </c>
      <c r="T30" s="26">
        <v>960</v>
      </c>
      <c r="U30" s="26">
        <v>2.2000000000000002</v>
      </c>
      <c r="V30" s="24">
        <v>0.86</v>
      </c>
      <c r="W30" s="1" t="s">
        <v>100</v>
      </c>
      <c r="X30" s="26">
        <v>727</v>
      </c>
      <c r="Y30" s="26">
        <v>2.4</v>
      </c>
      <c r="Z30" s="3">
        <v>0.85</v>
      </c>
    </row>
    <row r="31" spans="9:26" x14ac:dyDescent="0.3">
      <c r="I31" s="39">
        <v>11</v>
      </c>
      <c r="J31" s="38"/>
      <c r="K31" s="7" t="s">
        <v>73</v>
      </c>
      <c r="L31" s="1">
        <v>2910</v>
      </c>
      <c r="M31" s="1">
        <v>2.2000000000000002</v>
      </c>
      <c r="N31" s="3">
        <v>0.88</v>
      </c>
      <c r="O31" s="1" t="s">
        <v>89</v>
      </c>
      <c r="P31" s="1">
        <v>1447</v>
      </c>
      <c r="Q31" s="1">
        <v>2.2000000000000002</v>
      </c>
      <c r="R31" s="26">
        <v>0.87</v>
      </c>
      <c r="S31" s="7" t="s">
        <v>98</v>
      </c>
      <c r="T31" s="26">
        <v>970</v>
      </c>
      <c r="U31" s="26">
        <v>2.5</v>
      </c>
      <c r="V31" s="3">
        <v>0.86799999999999999</v>
      </c>
      <c r="W31" s="1" t="s">
        <v>101</v>
      </c>
      <c r="X31" s="26">
        <v>727</v>
      </c>
      <c r="Y31" s="26">
        <v>2.4</v>
      </c>
      <c r="Z31" s="3">
        <v>0.87</v>
      </c>
    </row>
    <row r="32" spans="9:26" x14ac:dyDescent="0.3">
      <c r="I32" s="39">
        <v>15</v>
      </c>
      <c r="J32" s="38"/>
      <c r="K32" s="7" t="s">
        <v>74</v>
      </c>
      <c r="L32" s="1">
        <v>2910</v>
      </c>
      <c r="M32" s="1">
        <v>2.7</v>
      </c>
      <c r="N32" s="3"/>
      <c r="O32" s="1" t="s">
        <v>90</v>
      </c>
      <c r="P32" s="1">
        <v>1455</v>
      </c>
      <c r="Q32" s="1">
        <v>2.9</v>
      </c>
      <c r="R32" s="1"/>
      <c r="S32" s="7"/>
      <c r="T32" s="1"/>
      <c r="U32" s="1"/>
      <c r="V32" s="3"/>
      <c r="W32" s="1"/>
      <c r="X32" s="1"/>
      <c r="Y32" s="1"/>
      <c r="Z32" s="3"/>
    </row>
    <row r="33" spans="2:26" x14ac:dyDescent="0.3">
      <c r="I33" s="39">
        <v>18.5</v>
      </c>
      <c r="J33" s="38"/>
      <c r="K33" s="7" t="s">
        <v>75</v>
      </c>
      <c r="L33" s="1">
        <v>2910</v>
      </c>
      <c r="M33" s="1">
        <v>2.7</v>
      </c>
      <c r="N33" s="3"/>
      <c r="O33" s="1" t="s">
        <v>91</v>
      </c>
      <c r="P33" s="1">
        <v>1455</v>
      </c>
      <c r="Q33" s="1">
        <v>2.9</v>
      </c>
      <c r="R33" s="1"/>
      <c r="S33" s="7"/>
      <c r="T33" s="1"/>
      <c r="U33" s="1"/>
      <c r="V33" s="3"/>
      <c r="W33" s="1"/>
      <c r="X33" s="1"/>
      <c r="Y33" s="1"/>
      <c r="Z33" s="3"/>
    </row>
    <row r="34" spans="2:26" x14ac:dyDescent="0.3">
      <c r="I34" s="39">
        <v>22</v>
      </c>
      <c r="J34" s="38"/>
      <c r="K34" s="7" t="s">
        <v>76</v>
      </c>
      <c r="L34" s="1">
        <v>2919</v>
      </c>
      <c r="M34" s="1">
        <v>2.7</v>
      </c>
      <c r="N34" s="3"/>
      <c r="O34" s="1" t="s">
        <v>92</v>
      </c>
      <c r="P34" s="1">
        <v>1462</v>
      </c>
      <c r="Q34" s="1">
        <v>2.4</v>
      </c>
      <c r="R34" s="1"/>
      <c r="S34" s="7"/>
      <c r="T34" s="1"/>
      <c r="U34" s="1"/>
      <c r="V34" s="3"/>
      <c r="W34" s="1"/>
      <c r="X34" s="1"/>
      <c r="Y34" s="1"/>
      <c r="Z34" s="3"/>
    </row>
    <row r="35" spans="2:26" x14ac:dyDescent="0.3">
      <c r="I35" s="40">
        <v>30</v>
      </c>
      <c r="J35" s="41"/>
      <c r="K35" s="13" t="s">
        <v>77</v>
      </c>
      <c r="L35" s="4">
        <v>2925</v>
      </c>
      <c r="M35" s="4">
        <v>2.7</v>
      </c>
      <c r="N35" s="5"/>
      <c r="O35" s="4" t="s">
        <v>93</v>
      </c>
      <c r="P35" s="4">
        <v>1470</v>
      </c>
      <c r="Q35" s="4">
        <v>2.7</v>
      </c>
      <c r="R35" s="4"/>
      <c r="S35" s="13"/>
      <c r="T35" s="4"/>
      <c r="U35" s="4"/>
      <c r="V35" s="5"/>
      <c r="W35" s="4"/>
      <c r="X35" s="4"/>
      <c r="Y35" s="4"/>
      <c r="Z35" s="5"/>
    </row>
    <row r="36" spans="2:26" x14ac:dyDescent="0.3">
      <c r="G36" s="57" t="s">
        <v>111</v>
      </c>
      <c r="H36" s="57"/>
      <c r="I36" s="47">
        <f>_xlfn.MINIFS(I21:J35,I21:J35,"&gt;="&amp;M11)</f>
        <v>7.5</v>
      </c>
      <c r="J36" s="48"/>
      <c r="K36" s="10" t="str">
        <f>VLOOKUP($I$36,$I$21:$R$35,3)</f>
        <v>112M2</v>
      </c>
      <c r="L36" s="10">
        <f>VLOOKUP($I$36,$I$21:$R$35,4)</f>
        <v>2895</v>
      </c>
      <c r="M36" s="10">
        <f>VLOOKUP($I$36,$I$21:$R$35,5)</f>
        <v>2.2000000000000002</v>
      </c>
      <c r="N36" s="10">
        <f>VLOOKUP($I$36,$I$21:$R$35,6)</f>
        <v>0.87</v>
      </c>
      <c r="O36" s="37" t="str">
        <f>VLOOKUP($I$36,$I$21:$R$35,7)</f>
        <v>132S4</v>
      </c>
      <c r="P36" s="37">
        <f>VLOOKUP($I$36,$I$21:$R$35,8)</f>
        <v>1440</v>
      </c>
      <c r="Q36" s="37">
        <f>VLOOKUP($I$36,$I$21:$R$35,9)</f>
        <v>2.2000000000000002</v>
      </c>
      <c r="R36" s="37">
        <f>VLOOKUP($I$36,$I$21:$R$35,10)</f>
        <v>0.872</v>
      </c>
      <c r="S36" s="10" t="str">
        <f>VLOOKUP($I$36,$I$21:$Z$35,11)</f>
        <v>132M6</v>
      </c>
      <c r="T36" s="10">
        <f>VLOOKUP($I$36,$I$21:$Z$35,12)</f>
        <v>960</v>
      </c>
      <c r="U36" s="10">
        <f>VLOOKUP($I$36,$I$21:$Z$35,13)</f>
        <v>2.2000000000000002</v>
      </c>
      <c r="V36" s="10">
        <f>VLOOKUP($I$36,$I$21:$Z$35,14)</f>
        <v>0.86</v>
      </c>
      <c r="W36" s="10" t="str">
        <f>VLOOKUP($I$36,$I$21:$Z$35,15)</f>
        <v>160S8</v>
      </c>
      <c r="X36" s="10">
        <f>VLOOKUP($I$36,$I$21:$Z$35,16)</f>
        <v>727</v>
      </c>
      <c r="Y36" s="10">
        <f>VLOOKUP($I$36,$I$21:$Z$35,17)</f>
        <v>2.4</v>
      </c>
      <c r="Z36" s="11">
        <f>VLOOKUP($I$36,$I$21:$Z$35,18)</f>
        <v>0.85</v>
      </c>
    </row>
    <row r="38" spans="2:26" x14ac:dyDescent="0.3">
      <c r="B38" s="42" t="s">
        <v>45</v>
      </c>
      <c r="C38" s="43"/>
      <c r="D38" s="43"/>
      <c r="E38" s="43"/>
      <c r="F38" s="43"/>
      <c r="G38" s="43"/>
      <c r="H38" s="8"/>
      <c r="I38" s="8"/>
      <c r="J38" s="8"/>
      <c r="K38" s="12"/>
      <c r="L38" s="19"/>
      <c r="M38" s="19"/>
      <c r="N38" s="8"/>
      <c r="O38" s="18"/>
      <c r="P38" s="19"/>
      <c r="Q38" s="19"/>
      <c r="R38" s="6"/>
      <c r="S38" s="19"/>
      <c r="T38" s="19"/>
      <c r="U38" s="19"/>
      <c r="V38" s="8"/>
      <c r="W38" s="18"/>
      <c r="X38" s="19"/>
      <c r="Y38" s="19"/>
      <c r="Z38" s="6"/>
    </row>
    <row r="39" spans="2:26" x14ac:dyDescent="0.3">
      <c r="B39" s="39" t="s">
        <v>48</v>
      </c>
      <c r="C39" s="38"/>
      <c r="D39" s="38"/>
      <c r="E39" s="38"/>
      <c r="F39" s="38"/>
      <c r="G39" s="38"/>
      <c r="H39" s="38" t="s">
        <v>49</v>
      </c>
      <c r="I39" s="38"/>
      <c r="J39" s="38"/>
      <c r="K39" s="7"/>
      <c r="L39" s="1"/>
      <c r="M39" s="1"/>
      <c r="N39" s="3">
        <f>N36*$M$9</f>
        <v>0.8189205947999999</v>
      </c>
      <c r="O39" s="7"/>
      <c r="P39" s="1"/>
      <c r="Q39" s="1"/>
      <c r="R39" s="3">
        <f>R36*$M$9</f>
        <v>0.82080317087999988</v>
      </c>
      <c r="S39" s="1"/>
      <c r="T39" s="1"/>
      <c r="U39" s="1"/>
      <c r="V39" s="3">
        <f>V36*$M$9</f>
        <v>0.80950771439999991</v>
      </c>
      <c r="W39" s="7"/>
      <c r="X39" s="1"/>
      <c r="Y39" s="1"/>
      <c r="Z39" s="3">
        <f>Z36*$M$9</f>
        <v>0.80009483399999992</v>
      </c>
    </row>
    <row r="40" spans="2:26" x14ac:dyDescent="0.3">
      <c r="B40" s="39" t="s">
        <v>41</v>
      </c>
      <c r="C40" s="38"/>
      <c r="D40" s="1" t="s">
        <v>44</v>
      </c>
      <c r="E40" s="1" t="s">
        <v>42</v>
      </c>
      <c r="F40" s="38" t="s">
        <v>43</v>
      </c>
      <c r="G40" s="38"/>
      <c r="H40" s="38" t="s">
        <v>47</v>
      </c>
      <c r="I40" s="38"/>
      <c r="J40" s="38"/>
      <c r="K40" s="28" t="s">
        <v>46</v>
      </c>
      <c r="L40" s="4" t="s">
        <v>80</v>
      </c>
      <c r="M40" s="4"/>
      <c r="N40" s="4" t="s">
        <v>27</v>
      </c>
      <c r="O40" s="28" t="s">
        <v>46</v>
      </c>
      <c r="P40" s="4" t="s">
        <v>80</v>
      </c>
      <c r="Q40" s="4"/>
      <c r="R40" s="5" t="s">
        <v>27</v>
      </c>
      <c r="S40" s="29" t="s">
        <v>46</v>
      </c>
      <c r="T40" s="4" t="s">
        <v>80</v>
      </c>
      <c r="U40" s="4"/>
      <c r="V40" s="4" t="s">
        <v>27</v>
      </c>
      <c r="W40" s="28" t="s">
        <v>46</v>
      </c>
      <c r="X40" s="4" t="s">
        <v>80</v>
      </c>
      <c r="Y40" s="4"/>
      <c r="Z40" s="5" t="s">
        <v>27</v>
      </c>
    </row>
    <row r="41" spans="2:26" x14ac:dyDescent="0.3">
      <c r="B41" s="7">
        <v>300</v>
      </c>
      <c r="C41" s="1">
        <v>800</v>
      </c>
      <c r="D41" s="1">
        <v>1.25</v>
      </c>
      <c r="E41" s="1">
        <v>63</v>
      </c>
      <c r="F41" s="38" t="b">
        <f>AND((B41&lt;=$E$14),(C41&gt;=$E$14),(D41&gt;=$E$3))</f>
        <v>0</v>
      </c>
      <c r="G41" s="38"/>
      <c r="H41" s="38">
        <f>IF(F41,$E$3*60000/PI()/E41,0)</f>
        <v>0</v>
      </c>
      <c r="I41" s="38"/>
      <c r="J41" s="45"/>
      <c r="K41" s="16" t="str">
        <f>IF($H41,L$36/$H41,"-")</f>
        <v>-</v>
      </c>
      <c r="L41" s="8"/>
      <c r="M41" s="58">
        <f>IF(K41&lt;&gt;"-",SUMIF($AC:$AE,L41,$AJ:$AJ)-K41*SUMIF($AC:$AE,L41,$AK:$AK),0)</f>
        <v>0</v>
      </c>
      <c r="N41" s="8">
        <f>M41*N$39</f>
        <v>0</v>
      </c>
      <c r="O41" s="16" t="str">
        <f>IF($H41,P$36/$H41,"-")</f>
        <v>-</v>
      </c>
      <c r="P41" s="8"/>
      <c r="Q41" s="58">
        <f>IF(O41&lt;&gt;"-",SUMIF($AC:$AE,P41,$AJ:$AJ)-O41*SUMIF($AC:$AE,P41,$AK:$AK),0)</f>
        <v>0</v>
      </c>
      <c r="R41" s="8">
        <f>Q41*R$39</f>
        <v>0</v>
      </c>
      <c r="S41" s="16" t="str">
        <f>IF($H41,T$36/$H41,"-")</f>
        <v>-</v>
      </c>
      <c r="T41" s="8"/>
      <c r="U41" s="58">
        <f>IF(S41&lt;&gt;"-",SUMIF($AC:$AE,T41,$AJ:$AJ)-S41*SUMIF($AC:$AE,T41,$AK:$AK),0)</f>
        <v>0</v>
      </c>
      <c r="V41" s="8">
        <f>U41*V$39</f>
        <v>0</v>
      </c>
      <c r="W41" s="16" t="str">
        <f>IF($H41,X$36/$H41,"-")</f>
        <v>-</v>
      </c>
      <c r="X41" s="8"/>
      <c r="Y41" s="58">
        <f>IF(W41&lt;&gt;"-",SUMIF($AC:$AE,X41,$AJ:$AJ)-W41*SUMIF($AC:$AE,X41,$AK:$AK),0)</f>
        <v>0</v>
      </c>
      <c r="Z41" s="6">
        <f>Y41*Z$39</f>
        <v>0</v>
      </c>
    </row>
    <row r="42" spans="2:26" x14ac:dyDescent="0.3">
      <c r="B42" s="7">
        <v>400</v>
      </c>
      <c r="C42" s="1">
        <v>650</v>
      </c>
      <c r="D42" s="1">
        <v>2</v>
      </c>
      <c r="E42" s="31">
        <v>83</v>
      </c>
      <c r="F42" s="38" t="b">
        <f t="shared" ref="F42:F55" si="4">AND((B42&lt;=$E$14),(C42&gt;=$E$14),(D42&gt;=$E$3))</f>
        <v>1</v>
      </c>
      <c r="G42" s="38"/>
      <c r="H42" s="53">
        <f>IF(F42,$E$3*60000/PI()/E42,0)</f>
        <v>368.16565148968562</v>
      </c>
      <c r="I42" s="53"/>
      <c r="J42" s="54"/>
      <c r="K42" s="14">
        <f t="shared" ref="K42:K55" si="5">IF($H42,L$36/$H42,"-")</f>
        <v>7.8633082371648273</v>
      </c>
      <c r="L42" s="1" t="str">
        <f>AC3</f>
        <v>Прямозубая 1</v>
      </c>
      <c r="M42" s="35">
        <f t="shared" ref="M42:M55" ca="1" si="6">IF(K42&lt;&gt;"-",SUMIF($AC:$AE,L42,$AJ:$AJ)-K42*SUMIF($AC:$AE,L42,$AK:$AK),0)</f>
        <v>0.96042716175885989</v>
      </c>
      <c r="N42" s="1">
        <f t="shared" ref="N42:N55" ca="1" si="7">M42*N$39</f>
        <v>0.78651358256964121</v>
      </c>
      <c r="O42" s="30">
        <f t="shared" ref="O42:O55" si="8">IF($H42,P$36/$H42,"-")</f>
        <v>3.9112828537192925</v>
      </c>
      <c r="P42" s="31" t="str">
        <f>AC3</f>
        <v>Прямозубая 1</v>
      </c>
      <c r="Q42" s="36">
        <f t="shared" ref="Q42:Q55" ca="1" si="9">IF(O42&lt;&gt;"-",SUMIF($AC:$AE,P42,$AJ:$AJ)-O42*SUMIF($AC:$AE,P42,$AK:$AK),0)</f>
        <v>0.97277724108212715</v>
      </c>
      <c r="R42" s="31">
        <f t="shared" ref="R42:R55" ca="1" si="10">Q42*R$39</f>
        <v>0.79845864404010802</v>
      </c>
      <c r="S42" s="14">
        <f t="shared" ref="S42:S55" si="11">IF($H42,T$36/$H42,"-")</f>
        <v>2.6075219024795282</v>
      </c>
      <c r="T42" s="1" t="str">
        <f>AC3</f>
        <v>Прямозубая 1</v>
      </c>
      <c r="U42" s="35">
        <f t="shared" ref="U42:U55" ca="1" si="12">IF(S42&lt;&gt;"-",SUMIF($AC:$AE,T42,$AJ:$AJ)-S42*SUMIF($AC:$AE,T42,$AK:$AK),0)</f>
        <v>0.97685149405475147</v>
      </c>
      <c r="V42" s="1">
        <f t="shared" ref="V42:V55" ca="1" si="13">U42*V$39</f>
        <v>0.790768820260487</v>
      </c>
      <c r="W42" s="14">
        <f t="shared" ref="W42:W55" si="14">IF($H42,X$36/$H42,"-")</f>
        <v>1.9746546073985594</v>
      </c>
      <c r="X42" s="1" t="str">
        <f>AC3</f>
        <v>Прямозубая 1</v>
      </c>
      <c r="Y42" s="35">
        <f t="shared" ref="Y42:Y55" ca="1" si="15">IF(W42&lt;&gt;"-",SUMIF($AC:$AE,X42,$AJ:$AJ)-W42*SUMIF($AC:$AE,X42,$AK:$AK),0)</f>
        <v>0.97882920435187948</v>
      </c>
      <c r="Z42" s="3">
        <f t="shared" ref="Z42:Z55" ca="1" si="16">Y42*Z$39</f>
        <v>0.78315618977026902</v>
      </c>
    </row>
    <row r="43" spans="2:26" x14ac:dyDescent="0.3">
      <c r="B43" s="7">
        <v>400</v>
      </c>
      <c r="C43" s="1">
        <v>650</v>
      </c>
      <c r="D43" s="1">
        <v>2</v>
      </c>
      <c r="E43" s="1">
        <v>89</v>
      </c>
      <c r="F43" s="38" t="b">
        <f t="shared" si="4"/>
        <v>1</v>
      </c>
      <c r="G43" s="38"/>
      <c r="H43" s="38">
        <f t="shared" ref="H43:H55" si="17">IF(F43,$E$3*60000/PI()/E43,0)</f>
        <v>343.34549520948212</v>
      </c>
      <c r="I43" s="38"/>
      <c r="J43" s="45"/>
      <c r="K43" s="14">
        <f t="shared" si="5"/>
        <v>8.4317401579237305</v>
      </c>
      <c r="L43" s="1" t="s">
        <v>112</v>
      </c>
      <c r="M43" s="35">
        <f t="shared" ca="1" si="6"/>
        <v>0</v>
      </c>
      <c r="N43" s="1">
        <f t="shared" ca="1" si="7"/>
        <v>0</v>
      </c>
      <c r="O43" s="14">
        <f t="shared" si="8"/>
        <v>4.1940261925423732</v>
      </c>
      <c r="P43" s="1" t="str">
        <f>AC3</f>
        <v>Прямозубая 1</v>
      </c>
      <c r="Q43" s="35">
        <f t="shared" ca="1" si="9"/>
        <v>0.97189366814830502</v>
      </c>
      <c r="R43" s="1">
        <f t="shared" ca="1" si="10"/>
        <v>0.79773340457432307</v>
      </c>
      <c r="S43" s="14">
        <f t="shared" si="11"/>
        <v>2.7960174616949156</v>
      </c>
      <c r="T43" s="1" t="str">
        <f>AC3</f>
        <v>Прямозубая 1</v>
      </c>
      <c r="U43" s="35">
        <f t="shared" ca="1" si="12"/>
        <v>0.97626244543220342</v>
      </c>
      <c r="V43" s="1">
        <f t="shared" ca="1" si="13"/>
        <v>0.79029198085637764</v>
      </c>
      <c r="W43" s="14">
        <f t="shared" si="14"/>
        <v>2.1174007235960453</v>
      </c>
      <c r="X43" s="1" t="str">
        <f>AC3</f>
        <v>Прямозубая 1</v>
      </c>
      <c r="Y43" s="35">
        <f t="shared" ca="1" si="15"/>
        <v>0.97838312273876238</v>
      </c>
      <c r="Z43" s="3">
        <f t="shared" ca="1" si="16"/>
        <v>0.78279928217607164</v>
      </c>
    </row>
    <row r="44" spans="2:26" x14ac:dyDescent="0.3">
      <c r="B44" s="7">
        <v>800</v>
      </c>
      <c r="C44" s="1">
        <v>800</v>
      </c>
      <c r="D44" s="1">
        <v>2.5</v>
      </c>
      <c r="E44" s="1">
        <v>83</v>
      </c>
      <c r="F44" s="38" t="b">
        <f t="shared" si="4"/>
        <v>0</v>
      </c>
      <c r="G44" s="38"/>
      <c r="H44" s="38">
        <f t="shared" si="17"/>
        <v>0</v>
      </c>
      <c r="I44" s="38"/>
      <c r="J44" s="45"/>
      <c r="K44" s="14" t="str">
        <f t="shared" si="5"/>
        <v>-</v>
      </c>
      <c r="L44" s="1"/>
      <c r="M44" s="35">
        <f t="shared" si="6"/>
        <v>0</v>
      </c>
      <c r="N44" s="1">
        <f t="shared" si="7"/>
        <v>0</v>
      </c>
      <c r="O44" s="14" t="str">
        <f t="shared" si="8"/>
        <v>-</v>
      </c>
      <c r="P44" s="1"/>
      <c r="Q44" s="35">
        <f t="shared" si="9"/>
        <v>0</v>
      </c>
      <c r="R44" s="1">
        <f t="shared" si="10"/>
        <v>0</v>
      </c>
      <c r="S44" s="14" t="str">
        <f t="shared" si="11"/>
        <v>-</v>
      </c>
      <c r="T44" s="1"/>
      <c r="U44" s="35">
        <f t="shared" si="12"/>
        <v>0</v>
      </c>
      <c r="V44" s="1">
        <f t="shared" si="13"/>
        <v>0</v>
      </c>
      <c r="W44" s="14" t="str">
        <f t="shared" si="14"/>
        <v>-</v>
      </c>
      <c r="X44" s="1"/>
      <c r="Y44" s="35">
        <f t="shared" si="15"/>
        <v>0</v>
      </c>
      <c r="Z44" s="3">
        <f t="shared" si="16"/>
        <v>0</v>
      </c>
    </row>
    <row r="45" spans="2:26" x14ac:dyDescent="0.3">
      <c r="B45" s="7">
        <v>800</v>
      </c>
      <c r="C45" s="1">
        <v>800</v>
      </c>
      <c r="D45" s="1">
        <v>2.5</v>
      </c>
      <c r="E45" s="1">
        <v>89</v>
      </c>
      <c r="F45" s="38" t="b">
        <f t="shared" si="4"/>
        <v>0</v>
      </c>
      <c r="G45" s="38"/>
      <c r="H45" s="38">
        <f t="shared" si="17"/>
        <v>0</v>
      </c>
      <c r="I45" s="38"/>
      <c r="J45" s="45"/>
      <c r="K45" s="14" t="str">
        <f t="shared" si="5"/>
        <v>-</v>
      </c>
      <c r="L45" s="1"/>
      <c r="M45" s="35">
        <f t="shared" si="6"/>
        <v>0</v>
      </c>
      <c r="N45" s="1">
        <f t="shared" si="7"/>
        <v>0</v>
      </c>
      <c r="O45" s="14" t="str">
        <f t="shared" si="8"/>
        <v>-</v>
      </c>
      <c r="P45" s="1"/>
      <c r="Q45" s="35">
        <f t="shared" si="9"/>
        <v>0</v>
      </c>
      <c r="R45" s="1">
        <f t="shared" si="10"/>
        <v>0</v>
      </c>
      <c r="S45" s="14" t="str">
        <f t="shared" si="11"/>
        <v>-</v>
      </c>
      <c r="T45" s="1"/>
      <c r="U45" s="35">
        <f t="shared" si="12"/>
        <v>0</v>
      </c>
      <c r="V45" s="1">
        <f t="shared" si="13"/>
        <v>0</v>
      </c>
      <c r="W45" s="14" t="str">
        <f t="shared" si="14"/>
        <v>-</v>
      </c>
      <c r="X45" s="1"/>
      <c r="Y45" s="35">
        <f t="shared" si="15"/>
        <v>0</v>
      </c>
      <c r="Z45" s="3">
        <f t="shared" si="16"/>
        <v>0</v>
      </c>
    </row>
    <row r="46" spans="2:26" x14ac:dyDescent="0.3">
      <c r="B46" s="7">
        <v>400</v>
      </c>
      <c r="C46" s="1">
        <v>650</v>
      </c>
      <c r="D46" s="1">
        <v>2.5</v>
      </c>
      <c r="E46" s="1">
        <v>102</v>
      </c>
      <c r="F46" s="38" t="b">
        <f t="shared" si="4"/>
        <v>1</v>
      </c>
      <c r="G46" s="38"/>
      <c r="H46" s="38">
        <f t="shared" si="17"/>
        <v>299.58577523180298</v>
      </c>
      <c r="I46" s="38"/>
      <c r="J46" s="45"/>
      <c r="K46" s="14">
        <f t="shared" si="5"/>
        <v>9.6633426529013544</v>
      </c>
      <c r="L46" s="1" t="s">
        <v>112</v>
      </c>
      <c r="M46" s="35">
        <f t="shared" ca="1" si="6"/>
        <v>0</v>
      </c>
      <c r="N46" s="1">
        <f t="shared" ca="1" si="7"/>
        <v>0</v>
      </c>
      <c r="O46" s="14">
        <f t="shared" si="8"/>
        <v>4.8066367599923838</v>
      </c>
      <c r="P46" s="26" t="str">
        <f>AC3</f>
        <v>Прямозубая 1</v>
      </c>
      <c r="Q46" s="35">
        <f t="shared" ca="1" si="9"/>
        <v>0.96997926012502378</v>
      </c>
      <c r="R46" s="1">
        <f t="shared" ca="1" si="10"/>
        <v>0.79616205239845572</v>
      </c>
      <c r="S46" s="14">
        <f t="shared" si="11"/>
        <v>3.2044245066615891</v>
      </c>
      <c r="T46" s="1" t="str">
        <f>AC3</f>
        <v>Прямозубая 1</v>
      </c>
      <c r="U46" s="35">
        <f t="shared" ca="1" si="12"/>
        <v>0.97498617341668248</v>
      </c>
      <c r="V46" s="1">
        <f t="shared" ca="1" si="13"/>
        <v>0.78925882881414056</v>
      </c>
      <c r="W46" s="14">
        <f t="shared" si="14"/>
        <v>2.4266839753572658</v>
      </c>
      <c r="X46" s="1" t="str">
        <f>AC3</f>
        <v>Прямозубая 1</v>
      </c>
      <c r="Y46" s="35">
        <f t="shared" ca="1" si="15"/>
        <v>0.97741661257700851</v>
      </c>
      <c r="Z46" s="3">
        <f t="shared" ca="1" si="16"/>
        <v>0.78202598238864385</v>
      </c>
    </row>
    <row r="47" spans="2:26" x14ac:dyDescent="0.3">
      <c r="B47" s="7">
        <v>400</v>
      </c>
      <c r="C47" s="1">
        <v>650</v>
      </c>
      <c r="D47" s="1">
        <v>2.5</v>
      </c>
      <c r="E47" s="1">
        <v>108</v>
      </c>
      <c r="F47" s="38" t="b">
        <f t="shared" si="4"/>
        <v>1</v>
      </c>
      <c r="G47" s="38"/>
      <c r="H47" s="38">
        <f t="shared" si="17"/>
        <v>282.94212105225841</v>
      </c>
      <c r="I47" s="38"/>
      <c r="J47" s="45"/>
      <c r="K47" s="14">
        <f t="shared" si="5"/>
        <v>10.231774573660257</v>
      </c>
      <c r="L47" s="1" t="s">
        <v>112</v>
      </c>
      <c r="M47" s="35">
        <f t="shared" ca="1" si="6"/>
        <v>0</v>
      </c>
      <c r="N47" s="1">
        <f t="shared" ca="1" si="7"/>
        <v>0</v>
      </c>
      <c r="O47" s="14">
        <f t="shared" si="8"/>
        <v>5.0893800988154645</v>
      </c>
      <c r="P47" s="1" t="str">
        <f>AC3</f>
        <v>Прямозубая 1</v>
      </c>
      <c r="Q47" s="35">
        <f t="shared" ca="1" si="9"/>
        <v>0.96909568719120165</v>
      </c>
      <c r="R47" s="1">
        <f t="shared" ca="1" si="10"/>
        <v>0.79543681293267077</v>
      </c>
      <c r="S47" s="14">
        <f t="shared" si="11"/>
        <v>3.392920065876976</v>
      </c>
      <c r="T47" s="1" t="str">
        <f>AC3</f>
        <v>Прямозубая 1</v>
      </c>
      <c r="U47" s="35">
        <f t="shared" ca="1" si="12"/>
        <v>0.97439712479413443</v>
      </c>
      <c r="V47" s="1">
        <f t="shared" ca="1" si="13"/>
        <v>0.78878198941003119</v>
      </c>
      <c r="W47" s="14">
        <f t="shared" si="14"/>
        <v>2.5694300915547519</v>
      </c>
      <c r="X47" s="1" t="str">
        <f>AC3</f>
        <v>Прямозубая 1</v>
      </c>
      <c r="Y47" s="35">
        <f t="shared" ca="1" si="15"/>
        <v>0.97697053096389141</v>
      </c>
      <c r="Z47" s="3">
        <f t="shared" ca="1" si="16"/>
        <v>0.78166907479444647</v>
      </c>
    </row>
    <row r="48" spans="2:26" x14ac:dyDescent="0.3">
      <c r="B48" s="7">
        <v>800</v>
      </c>
      <c r="C48" s="1">
        <v>1200</v>
      </c>
      <c r="D48" s="1">
        <v>3.15</v>
      </c>
      <c r="E48" s="1">
        <v>127</v>
      </c>
      <c r="F48" s="38" t="b">
        <f t="shared" si="4"/>
        <v>0</v>
      </c>
      <c r="G48" s="38"/>
      <c r="H48" s="38">
        <f t="shared" si="17"/>
        <v>0</v>
      </c>
      <c r="I48" s="38"/>
      <c r="J48" s="45"/>
      <c r="K48" s="14" t="str">
        <f t="shared" si="5"/>
        <v>-</v>
      </c>
      <c r="L48" s="1"/>
      <c r="M48" s="35">
        <f t="shared" si="6"/>
        <v>0</v>
      </c>
      <c r="N48" s="1">
        <f t="shared" si="7"/>
        <v>0</v>
      </c>
      <c r="O48" s="14" t="str">
        <f t="shared" si="8"/>
        <v>-</v>
      </c>
      <c r="P48" s="1"/>
      <c r="Q48" s="35">
        <f t="shared" si="9"/>
        <v>0</v>
      </c>
      <c r="R48" s="1">
        <f t="shared" si="10"/>
        <v>0</v>
      </c>
      <c r="S48" s="14" t="str">
        <f t="shared" si="11"/>
        <v>-</v>
      </c>
      <c r="T48" s="1"/>
      <c r="U48" s="35">
        <f t="shared" si="12"/>
        <v>0</v>
      </c>
      <c r="V48" s="1">
        <f t="shared" si="13"/>
        <v>0</v>
      </c>
      <c r="W48" s="14" t="str">
        <f t="shared" si="14"/>
        <v>-</v>
      </c>
      <c r="X48" s="1"/>
      <c r="Y48" s="35">
        <f t="shared" si="15"/>
        <v>0</v>
      </c>
      <c r="Z48" s="3">
        <f t="shared" si="16"/>
        <v>0</v>
      </c>
    </row>
    <row r="49" spans="2:26" x14ac:dyDescent="0.3">
      <c r="B49" s="7">
        <v>800</v>
      </c>
      <c r="C49" s="1">
        <v>1200</v>
      </c>
      <c r="D49" s="1">
        <v>3.15</v>
      </c>
      <c r="E49" s="1">
        <v>133</v>
      </c>
      <c r="F49" s="38" t="b">
        <f t="shared" si="4"/>
        <v>0</v>
      </c>
      <c r="G49" s="38"/>
      <c r="H49" s="38">
        <f t="shared" si="17"/>
        <v>0</v>
      </c>
      <c r="I49" s="38"/>
      <c r="J49" s="45"/>
      <c r="K49" s="14" t="str">
        <f t="shared" si="5"/>
        <v>-</v>
      </c>
      <c r="L49" s="1"/>
      <c r="M49" s="35">
        <f t="shared" si="6"/>
        <v>0</v>
      </c>
      <c r="N49" s="1">
        <f t="shared" si="7"/>
        <v>0</v>
      </c>
      <c r="O49" s="14" t="str">
        <f t="shared" si="8"/>
        <v>-</v>
      </c>
      <c r="P49" s="1"/>
      <c r="Q49" s="35">
        <f t="shared" si="9"/>
        <v>0</v>
      </c>
      <c r="R49" s="1">
        <f t="shared" si="10"/>
        <v>0</v>
      </c>
      <c r="S49" s="14" t="str">
        <f t="shared" si="11"/>
        <v>-</v>
      </c>
      <c r="T49" s="1"/>
      <c r="U49" s="35">
        <f t="shared" si="12"/>
        <v>0</v>
      </c>
      <c r="V49" s="1">
        <f t="shared" si="13"/>
        <v>0</v>
      </c>
      <c r="W49" s="14" t="str">
        <f t="shared" si="14"/>
        <v>-</v>
      </c>
      <c r="X49" s="1"/>
      <c r="Y49" s="35">
        <f t="shared" si="15"/>
        <v>0</v>
      </c>
      <c r="Z49" s="3">
        <f t="shared" si="16"/>
        <v>0</v>
      </c>
    </row>
    <row r="50" spans="2:26" x14ac:dyDescent="0.3">
      <c r="B50" s="7">
        <v>800</v>
      </c>
      <c r="C50" s="1">
        <v>1200</v>
      </c>
      <c r="D50" s="1">
        <v>4</v>
      </c>
      <c r="E50" s="1">
        <v>152</v>
      </c>
      <c r="F50" s="38" t="b">
        <f t="shared" si="4"/>
        <v>0</v>
      </c>
      <c r="G50" s="38"/>
      <c r="H50" s="38">
        <f t="shared" si="17"/>
        <v>0</v>
      </c>
      <c r="I50" s="38"/>
      <c r="J50" s="45"/>
      <c r="K50" s="14" t="str">
        <f t="shared" si="5"/>
        <v>-</v>
      </c>
      <c r="L50" s="1"/>
      <c r="M50" s="35">
        <f t="shared" si="6"/>
        <v>0</v>
      </c>
      <c r="N50" s="1">
        <f t="shared" si="7"/>
        <v>0</v>
      </c>
      <c r="O50" s="14" t="str">
        <f t="shared" si="8"/>
        <v>-</v>
      </c>
      <c r="P50" s="1"/>
      <c r="Q50" s="35">
        <f t="shared" si="9"/>
        <v>0</v>
      </c>
      <c r="R50" s="1">
        <f t="shared" si="10"/>
        <v>0</v>
      </c>
      <c r="S50" s="14" t="str">
        <f t="shared" si="11"/>
        <v>-</v>
      </c>
      <c r="T50" s="1"/>
      <c r="U50" s="35">
        <f t="shared" si="12"/>
        <v>0</v>
      </c>
      <c r="V50" s="1">
        <f t="shared" si="13"/>
        <v>0</v>
      </c>
      <c r="W50" s="14" t="str">
        <f t="shared" si="14"/>
        <v>-</v>
      </c>
      <c r="X50" s="1"/>
      <c r="Y50" s="35">
        <f t="shared" si="15"/>
        <v>0</v>
      </c>
      <c r="Z50" s="3">
        <f t="shared" si="16"/>
        <v>0</v>
      </c>
    </row>
    <row r="51" spans="2:26" x14ac:dyDescent="0.3">
      <c r="B51" s="7">
        <v>800</v>
      </c>
      <c r="C51" s="1">
        <v>1200</v>
      </c>
      <c r="D51" s="1">
        <v>4</v>
      </c>
      <c r="E51" s="1">
        <v>159</v>
      </c>
      <c r="F51" s="38" t="b">
        <f t="shared" si="4"/>
        <v>0</v>
      </c>
      <c r="G51" s="38"/>
      <c r="H51" s="38">
        <f t="shared" si="17"/>
        <v>0</v>
      </c>
      <c r="I51" s="38"/>
      <c r="J51" s="45"/>
      <c r="K51" s="14" t="str">
        <f t="shared" si="5"/>
        <v>-</v>
      </c>
      <c r="L51" s="1"/>
      <c r="M51" s="35">
        <f t="shared" si="6"/>
        <v>0</v>
      </c>
      <c r="N51" s="1">
        <f t="shared" si="7"/>
        <v>0</v>
      </c>
      <c r="O51" s="14" t="str">
        <f t="shared" si="8"/>
        <v>-</v>
      </c>
      <c r="P51" s="1"/>
      <c r="Q51" s="35">
        <f t="shared" si="9"/>
        <v>0</v>
      </c>
      <c r="R51" s="1">
        <f t="shared" si="10"/>
        <v>0</v>
      </c>
      <c r="S51" s="14" t="str">
        <f t="shared" si="11"/>
        <v>-</v>
      </c>
      <c r="T51" s="1"/>
      <c r="U51" s="35">
        <f t="shared" si="12"/>
        <v>0</v>
      </c>
      <c r="V51" s="1">
        <f t="shared" si="13"/>
        <v>0</v>
      </c>
      <c r="W51" s="14" t="str">
        <f t="shared" si="14"/>
        <v>-</v>
      </c>
      <c r="X51" s="1"/>
      <c r="Y51" s="35">
        <f t="shared" si="15"/>
        <v>0</v>
      </c>
      <c r="Z51" s="3">
        <f t="shared" si="16"/>
        <v>0</v>
      </c>
    </row>
    <row r="52" spans="2:26" x14ac:dyDescent="0.3">
      <c r="B52" s="7">
        <v>1400</v>
      </c>
      <c r="C52" s="1">
        <v>1400</v>
      </c>
      <c r="D52" s="1">
        <v>3.15</v>
      </c>
      <c r="E52" s="1">
        <v>152</v>
      </c>
      <c r="F52" s="38" t="b">
        <f t="shared" si="4"/>
        <v>0</v>
      </c>
      <c r="G52" s="38"/>
      <c r="H52" s="38">
        <f t="shared" si="17"/>
        <v>0</v>
      </c>
      <c r="I52" s="38"/>
      <c r="J52" s="45"/>
      <c r="K52" s="14" t="str">
        <f t="shared" si="5"/>
        <v>-</v>
      </c>
      <c r="L52" s="1"/>
      <c r="M52" s="35">
        <f t="shared" si="6"/>
        <v>0</v>
      </c>
      <c r="N52" s="1">
        <f t="shared" si="7"/>
        <v>0</v>
      </c>
      <c r="O52" s="14" t="str">
        <f t="shared" si="8"/>
        <v>-</v>
      </c>
      <c r="P52" s="1"/>
      <c r="Q52" s="35">
        <f t="shared" si="9"/>
        <v>0</v>
      </c>
      <c r="R52" s="1">
        <f t="shared" si="10"/>
        <v>0</v>
      </c>
      <c r="S52" s="14" t="str">
        <f t="shared" si="11"/>
        <v>-</v>
      </c>
      <c r="T52" s="1"/>
      <c r="U52" s="35">
        <f t="shared" si="12"/>
        <v>0</v>
      </c>
      <c r="V52" s="1">
        <f t="shared" si="13"/>
        <v>0</v>
      </c>
      <c r="W52" s="14" t="str">
        <f t="shared" si="14"/>
        <v>-</v>
      </c>
      <c r="X52" s="1"/>
      <c r="Y52" s="35">
        <f t="shared" si="15"/>
        <v>0</v>
      </c>
      <c r="Z52" s="3">
        <f t="shared" si="16"/>
        <v>0</v>
      </c>
    </row>
    <row r="53" spans="2:26" x14ac:dyDescent="0.3">
      <c r="B53" s="7">
        <v>1400</v>
      </c>
      <c r="C53" s="1">
        <v>1400</v>
      </c>
      <c r="D53" s="1">
        <v>3.15</v>
      </c>
      <c r="E53" s="1">
        <v>159</v>
      </c>
      <c r="F53" s="38" t="b">
        <f t="shared" si="4"/>
        <v>0</v>
      </c>
      <c r="G53" s="38"/>
      <c r="H53" s="38">
        <f t="shared" si="17"/>
        <v>0</v>
      </c>
      <c r="I53" s="38"/>
      <c r="J53" s="45"/>
      <c r="K53" s="14" t="str">
        <f t="shared" si="5"/>
        <v>-</v>
      </c>
      <c r="L53" s="1"/>
      <c r="M53" s="35">
        <f t="shared" si="6"/>
        <v>0</v>
      </c>
      <c r="N53" s="1">
        <f t="shared" si="7"/>
        <v>0</v>
      </c>
      <c r="O53" s="14" t="str">
        <f t="shared" si="8"/>
        <v>-</v>
      </c>
      <c r="P53" s="1"/>
      <c r="Q53" s="35">
        <f t="shared" si="9"/>
        <v>0</v>
      </c>
      <c r="R53" s="1">
        <f t="shared" si="10"/>
        <v>0</v>
      </c>
      <c r="S53" s="14" t="str">
        <f t="shared" si="11"/>
        <v>-</v>
      </c>
      <c r="T53" s="1"/>
      <c r="U53" s="35">
        <f t="shared" si="12"/>
        <v>0</v>
      </c>
      <c r="V53" s="1">
        <f t="shared" si="13"/>
        <v>0</v>
      </c>
      <c r="W53" s="14" t="str">
        <f t="shared" si="14"/>
        <v>-</v>
      </c>
      <c r="X53" s="1"/>
      <c r="Y53" s="35">
        <f t="shared" si="15"/>
        <v>0</v>
      </c>
      <c r="Z53" s="3">
        <f t="shared" si="16"/>
        <v>0</v>
      </c>
    </row>
    <row r="54" spans="2:26" x14ac:dyDescent="0.3">
      <c r="B54" s="7">
        <v>1600</v>
      </c>
      <c r="C54" s="1">
        <v>2000</v>
      </c>
      <c r="D54" s="1">
        <v>3.15</v>
      </c>
      <c r="E54" s="1">
        <v>152</v>
      </c>
      <c r="F54" s="38" t="b">
        <f t="shared" si="4"/>
        <v>0</v>
      </c>
      <c r="G54" s="38"/>
      <c r="H54" s="38">
        <f t="shared" si="17"/>
        <v>0</v>
      </c>
      <c r="I54" s="38"/>
      <c r="J54" s="45"/>
      <c r="K54" s="14" t="str">
        <f t="shared" si="5"/>
        <v>-</v>
      </c>
      <c r="L54" s="1"/>
      <c r="M54" s="35">
        <f t="shared" si="6"/>
        <v>0</v>
      </c>
      <c r="N54" s="1">
        <f t="shared" si="7"/>
        <v>0</v>
      </c>
      <c r="O54" s="14" t="str">
        <f t="shared" si="8"/>
        <v>-</v>
      </c>
      <c r="P54" s="1"/>
      <c r="Q54" s="35">
        <f t="shared" si="9"/>
        <v>0</v>
      </c>
      <c r="R54" s="1">
        <f t="shared" si="10"/>
        <v>0</v>
      </c>
      <c r="S54" s="14" t="str">
        <f t="shared" si="11"/>
        <v>-</v>
      </c>
      <c r="T54" s="1"/>
      <c r="U54" s="35">
        <f t="shared" si="12"/>
        <v>0</v>
      </c>
      <c r="V54" s="1">
        <f t="shared" si="13"/>
        <v>0</v>
      </c>
      <c r="W54" s="14" t="str">
        <f t="shared" si="14"/>
        <v>-</v>
      </c>
      <c r="X54" s="1"/>
      <c r="Y54" s="35">
        <f t="shared" si="15"/>
        <v>0</v>
      </c>
      <c r="Z54" s="3">
        <f t="shared" si="16"/>
        <v>0</v>
      </c>
    </row>
    <row r="55" spans="2:26" x14ac:dyDescent="0.3">
      <c r="B55" s="13">
        <v>1600</v>
      </c>
      <c r="C55" s="4">
        <v>2000</v>
      </c>
      <c r="D55" s="4">
        <v>3.15</v>
      </c>
      <c r="E55" s="4">
        <v>159</v>
      </c>
      <c r="F55" s="41" t="b">
        <f t="shared" si="4"/>
        <v>0</v>
      </c>
      <c r="G55" s="41"/>
      <c r="H55" s="41">
        <f t="shared" si="17"/>
        <v>0</v>
      </c>
      <c r="I55" s="41"/>
      <c r="J55" s="46"/>
      <c r="K55" s="15" t="str">
        <f t="shared" si="5"/>
        <v>-</v>
      </c>
      <c r="L55" s="4"/>
      <c r="M55" s="59">
        <f t="shared" si="6"/>
        <v>0</v>
      </c>
      <c r="N55" s="4">
        <f t="shared" si="7"/>
        <v>0</v>
      </c>
      <c r="O55" s="15" t="str">
        <f t="shared" si="8"/>
        <v>-</v>
      </c>
      <c r="P55" s="4"/>
      <c r="Q55" s="59">
        <f t="shared" si="9"/>
        <v>0</v>
      </c>
      <c r="R55" s="4">
        <f t="shared" si="10"/>
        <v>0</v>
      </c>
      <c r="S55" s="15" t="str">
        <f t="shared" si="11"/>
        <v>-</v>
      </c>
      <c r="T55" s="4"/>
      <c r="U55" s="59">
        <f t="shared" si="12"/>
        <v>0</v>
      </c>
      <c r="V55" s="4">
        <f t="shared" si="13"/>
        <v>0</v>
      </c>
      <c r="W55" s="15" t="str">
        <f t="shared" si="14"/>
        <v>-</v>
      </c>
      <c r="X55" s="4"/>
      <c r="Y55" s="59">
        <f t="shared" si="15"/>
        <v>0</v>
      </c>
      <c r="Z55" s="5">
        <f t="shared" si="16"/>
        <v>0</v>
      </c>
    </row>
    <row r="56" spans="2:26" x14ac:dyDescent="0.3">
      <c r="L56" s="38" t="s">
        <v>63</v>
      </c>
      <c r="M56" s="38"/>
      <c r="N56" s="32">
        <f ca="1">MAX(Z41:Z55,V41:V55,R41:R55,N41:N55)</f>
        <v>0.79845864404010802</v>
      </c>
    </row>
    <row r="57" spans="2:26" x14ac:dyDescent="0.3">
      <c r="B57" s="42" t="s">
        <v>121</v>
      </c>
      <c r="C57" s="43"/>
      <c r="D57" s="43"/>
      <c r="E57" s="43"/>
      <c r="F57" s="43" t="str">
        <f>P46</f>
        <v>Прямозубая 1</v>
      </c>
      <c r="G57" s="44"/>
    </row>
    <row r="58" spans="2:26" x14ac:dyDescent="0.3">
      <c r="B58" s="39" t="s">
        <v>46</v>
      </c>
      <c r="C58" s="38"/>
      <c r="D58" s="38"/>
      <c r="E58" s="38"/>
      <c r="F58" s="33">
        <f>O42</f>
        <v>3.9112828537192925</v>
      </c>
      <c r="G58" s="3"/>
      <c r="P58" t="s">
        <v>102</v>
      </c>
      <c r="Q58" t="s">
        <v>28</v>
      </c>
      <c r="R58" t="s">
        <v>105</v>
      </c>
      <c r="S58" t="s">
        <v>103</v>
      </c>
      <c r="T58" t="s">
        <v>28</v>
      </c>
      <c r="U58" t="s">
        <v>104</v>
      </c>
    </row>
    <row r="59" spans="2:26" x14ac:dyDescent="0.3">
      <c r="B59" s="39" t="s">
        <v>106</v>
      </c>
      <c r="C59" s="38"/>
      <c r="D59" s="38"/>
      <c r="E59" s="38"/>
      <c r="F59" s="17">
        <f>P36</f>
        <v>1440</v>
      </c>
      <c r="G59" s="3" t="s">
        <v>116</v>
      </c>
      <c r="O59" t="s">
        <v>27</v>
      </c>
      <c r="P59">
        <f>R36</f>
        <v>0.872</v>
      </c>
      <c r="Q59">
        <f>M7</f>
        <v>0.98</v>
      </c>
      <c r="R59">
        <f>M6</f>
        <v>0.99</v>
      </c>
      <c r="S59">
        <f>AJ3</f>
        <v>0.98499999999999999</v>
      </c>
      <c r="T59">
        <f>M7</f>
        <v>0.98</v>
      </c>
      <c r="U59">
        <f>M6</f>
        <v>0.99</v>
      </c>
    </row>
    <row r="60" spans="2:26" x14ac:dyDescent="0.3">
      <c r="B60" s="39" t="s">
        <v>115</v>
      </c>
      <c r="C60" s="38"/>
      <c r="D60" s="38"/>
      <c r="E60" s="38"/>
      <c r="F60" s="1">
        <f>F59*PI()/30</f>
        <v>150.79644737231007</v>
      </c>
      <c r="G60" s="3" t="s">
        <v>117</v>
      </c>
    </row>
    <row r="61" spans="2:26" x14ac:dyDescent="0.3">
      <c r="B61" s="39" t="s">
        <v>47</v>
      </c>
      <c r="C61" s="38"/>
      <c r="D61" s="38"/>
      <c r="E61" s="38"/>
      <c r="F61" s="17">
        <f>H42</f>
        <v>368.16565148968562</v>
      </c>
      <c r="G61" s="3" t="s">
        <v>116</v>
      </c>
    </row>
    <row r="62" spans="2:26" x14ac:dyDescent="0.3">
      <c r="B62" s="39" t="s">
        <v>118</v>
      </c>
      <c r="C62" s="38"/>
      <c r="D62" s="38"/>
      <c r="E62" s="38"/>
      <c r="F62" s="17">
        <f>E42</f>
        <v>83</v>
      </c>
      <c r="G62" s="3" t="s">
        <v>16</v>
      </c>
    </row>
    <row r="63" spans="2:26" x14ac:dyDescent="0.3">
      <c r="B63" s="39" t="s">
        <v>107</v>
      </c>
      <c r="C63" s="38"/>
      <c r="D63" s="38"/>
      <c r="E63" s="38"/>
      <c r="F63" s="1">
        <f>E2*F62/2</f>
        <v>166</v>
      </c>
      <c r="G63" s="3" t="s">
        <v>110</v>
      </c>
    </row>
    <row r="64" spans="2:26" x14ac:dyDescent="0.3">
      <c r="B64" s="39" t="s">
        <v>108</v>
      </c>
      <c r="C64" s="38"/>
      <c r="D64" s="38"/>
      <c r="E64" s="38"/>
      <c r="F64" s="1">
        <f>F63/F68/F58</f>
        <v>45.775183383347823</v>
      </c>
      <c r="G64" s="3" t="s">
        <v>110</v>
      </c>
    </row>
    <row r="65" spans="2:7" x14ac:dyDescent="0.3">
      <c r="B65" s="39" t="s">
        <v>109</v>
      </c>
      <c r="C65" s="38"/>
      <c r="D65" s="38"/>
      <c r="E65" s="38"/>
      <c r="F65" s="1">
        <f>F64*F60/1000</f>
        <v>6.9027350320248528</v>
      </c>
      <c r="G65" s="3" t="s">
        <v>119</v>
      </c>
    </row>
    <row r="66" spans="2:7" x14ac:dyDescent="0.3">
      <c r="B66" s="39" t="s">
        <v>113</v>
      </c>
      <c r="C66" s="38"/>
      <c r="D66" s="38"/>
      <c r="E66" s="38"/>
      <c r="F66" s="1">
        <f>Q36</f>
        <v>2.2000000000000002</v>
      </c>
      <c r="G66" s="3"/>
    </row>
    <row r="67" spans="2:7" x14ac:dyDescent="0.3">
      <c r="B67" s="39" t="s">
        <v>114</v>
      </c>
      <c r="C67" s="38"/>
      <c r="D67" s="38"/>
      <c r="E67" s="38"/>
      <c r="F67" s="1">
        <f>MAX(F66,E8)</f>
        <v>2.2000000000000002</v>
      </c>
      <c r="G67" s="3"/>
    </row>
    <row r="68" spans="2:7" x14ac:dyDescent="0.3">
      <c r="B68" s="39" t="s">
        <v>120</v>
      </c>
      <c r="C68" s="38"/>
      <c r="D68" s="38"/>
      <c r="E68" s="38"/>
      <c r="F68" s="1">
        <f>U59*S59*T59*R59*Q59</f>
        <v>0.9271687193999999</v>
      </c>
      <c r="G68" s="3"/>
    </row>
    <row r="69" spans="2:7" x14ac:dyDescent="0.3">
      <c r="B69" s="40" t="s">
        <v>122</v>
      </c>
      <c r="C69" s="41"/>
      <c r="D69" s="41"/>
      <c r="E69" s="41"/>
      <c r="F69" s="4">
        <f>F68*P59</f>
        <v>0.80849112331679995</v>
      </c>
      <c r="G69" s="5"/>
    </row>
  </sheetData>
  <mergeCells count="130">
    <mergeCell ref="B61:E61"/>
    <mergeCell ref="B60:E60"/>
    <mergeCell ref="B68:E68"/>
    <mergeCell ref="B69:E69"/>
    <mergeCell ref="B59:E59"/>
    <mergeCell ref="B58:E58"/>
    <mergeCell ref="F57:G57"/>
    <mergeCell ref="B57:E57"/>
    <mergeCell ref="A1:F1"/>
    <mergeCell ref="A2:D2"/>
    <mergeCell ref="A3:D3"/>
    <mergeCell ref="A4:D4"/>
    <mergeCell ref="A5:D5"/>
    <mergeCell ref="A6:D6"/>
    <mergeCell ref="A7:D7"/>
    <mergeCell ref="A8:D8"/>
    <mergeCell ref="E4:G4"/>
    <mergeCell ref="A9:F9"/>
    <mergeCell ref="A11:F11"/>
    <mergeCell ref="B39:G39"/>
    <mergeCell ref="A12:D12"/>
    <mergeCell ref="B66:E66"/>
    <mergeCell ref="B67:E67"/>
    <mergeCell ref="B65:E65"/>
    <mergeCell ref="B64:E64"/>
    <mergeCell ref="B63:E63"/>
    <mergeCell ref="B62:E62"/>
    <mergeCell ref="Q12:S12"/>
    <mergeCell ref="B40:C40"/>
    <mergeCell ref="Q2:S2"/>
    <mergeCell ref="Q3:S3"/>
    <mergeCell ref="Q4:S4"/>
    <mergeCell ref="Q5:S5"/>
    <mergeCell ref="Q6:S6"/>
    <mergeCell ref="Q7:S7"/>
    <mergeCell ref="I29:J29"/>
    <mergeCell ref="I30:J30"/>
    <mergeCell ref="F46:G46"/>
    <mergeCell ref="F47:G47"/>
    <mergeCell ref="F48:G48"/>
    <mergeCell ref="F49:G49"/>
    <mergeCell ref="F41:G41"/>
    <mergeCell ref="F40:G40"/>
    <mergeCell ref="F42:G42"/>
    <mergeCell ref="F43:G43"/>
    <mergeCell ref="F44:G44"/>
    <mergeCell ref="F45:G45"/>
    <mergeCell ref="G36:H36"/>
    <mergeCell ref="AC2:AE2"/>
    <mergeCell ref="AC3:AE3"/>
    <mergeCell ref="AC4:AE4"/>
    <mergeCell ref="I7:J7"/>
    <mergeCell ref="K7:L7"/>
    <mergeCell ref="M7:N7"/>
    <mergeCell ref="M9:N9"/>
    <mergeCell ref="A15:D15"/>
    <mergeCell ref="I6:J6"/>
    <mergeCell ref="K5:L5"/>
    <mergeCell ref="M5:N5"/>
    <mergeCell ref="K6:L6"/>
    <mergeCell ref="M6:N6"/>
    <mergeCell ref="A14:D14"/>
    <mergeCell ref="E12:G12"/>
    <mergeCell ref="A13:D13"/>
    <mergeCell ref="M2:N2"/>
    <mergeCell ref="I2:L2"/>
    <mergeCell ref="I4:N4"/>
    <mergeCell ref="I3:N3"/>
    <mergeCell ref="F54:G54"/>
    <mergeCell ref="F55:G55"/>
    <mergeCell ref="B38:G38"/>
    <mergeCell ref="F50:G50"/>
    <mergeCell ref="F51:G51"/>
    <mergeCell ref="H39:J39"/>
    <mergeCell ref="H40:J40"/>
    <mergeCell ref="H41:J41"/>
    <mergeCell ref="H42:J42"/>
    <mergeCell ref="H43:J43"/>
    <mergeCell ref="H47:J47"/>
    <mergeCell ref="H48:J48"/>
    <mergeCell ref="H49:J49"/>
    <mergeCell ref="S19:V19"/>
    <mergeCell ref="W19:Z19"/>
    <mergeCell ref="O19:R19"/>
    <mergeCell ref="H50:J50"/>
    <mergeCell ref="H44:J44"/>
    <mergeCell ref="H45:J45"/>
    <mergeCell ref="H46:J46"/>
    <mergeCell ref="F52:G52"/>
    <mergeCell ref="F53:G53"/>
    <mergeCell ref="I9:L9"/>
    <mergeCell ref="I10:L10"/>
    <mergeCell ref="M10:N10"/>
    <mergeCell ref="I11:L11"/>
    <mergeCell ref="M11:N11"/>
    <mergeCell ref="AC5:AE5"/>
    <mergeCell ref="AC7:AE7"/>
    <mergeCell ref="AC10:AE10"/>
    <mergeCell ref="AC9:AE9"/>
    <mergeCell ref="Q8:S8"/>
    <mergeCell ref="Q9:S9"/>
    <mergeCell ref="Q10:S10"/>
    <mergeCell ref="Q11:S11"/>
    <mergeCell ref="I8:J8"/>
    <mergeCell ref="K8:L8"/>
    <mergeCell ref="M8:N8"/>
    <mergeCell ref="AC8:AE8"/>
    <mergeCell ref="AC6:AE6"/>
    <mergeCell ref="L56:M56"/>
    <mergeCell ref="I31:J31"/>
    <mergeCell ref="I32:J32"/>
    <mergeCell ref="I33:J33"/>
    <mergeCell ref="I34:J34"/>
    <mergeCell ref="I35:J35"/>
    <mergeCell ref="K19:N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H51:J51"/>
    <mergeCell ref="H52:J52"/>
    <mergeCell ref="H53:J53"/>
    <mergeCell ref="H54:J54"/>
    <mergeCell ref="H55:J55"/>
    <mergeCell ref="I36:J3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Professional</cp:lastModifiedBy>
  <dcterms:created xsi:type="dcterms:W3CDTF">2026-02-16T08:41:05Z</dcterms:created>
  <dcterms:modified xsi:type="dcterms:W3CDTF">2026-02-18T14:17:12Z</dcterms:modified>
</cp:coreProperties>
</file>