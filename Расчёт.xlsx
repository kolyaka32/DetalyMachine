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18854E6C-C0A5-47DB-879F-8CCD44108F5D}" xr6:coauthVersionLast="47" xr6:coauthVersionMax="47" xr10:uidLastSave="{00000000-0000-0000-0000-000000000000}"/>
  <bookViews>
    <workbookView xWindow="-108" yWindow="-108" windowWidth="23256" windowHeight="12456" tabRatio="812" activeTab="9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тихоходный вал" sheetId="14" r:id="rId6"/>
    <sheet name="вал-шестерня" sheetId="13" r:id="rId7"/>
    <sheet name="силы" sheetId="15" r:id="rId8"/>
    <sheet name="Корпус" sheetId="3" r:id="rId9"/>
    <sheet name="барабан" sheetId="16" r:id="rId10"/>
    <sheet name="Муфта" sheetId="17" r:id="rId11"/>
    <sheet name="Ra40" sheetId="5" r:id="rId12"/>
    <sheet name="Подшипники" sheetId="10" r:id="rId13"/>
    <sheet name="Материалы" sheetId="1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8" i="16" l="1"/>
  <c r="R5" i="15"/>
  <c r="E27" i="15"/>
  <c r="E26" i="15"/>
  <c r="E28" i="15" s="1"/>
  <c r="E20" i="15"/>
  <c r="E19" i="15"/>
  <c r="E18" i="15"/>
  <c r="B7" i="17"/>
  <c r="E3" i="17"/>
  <c r="F4" i="17"/>
  <c r="L35" i="16"/>
  <c r="L34" i="16"/>
  <c r="S41" i="16"/>
  <c r="L41" i="16"/>
  <c r="L40" i="16"/>
  <c r="L32" i="16"/>
  <c r="L31" i="16"/>
  <c r="S37" i="16"/>
  <c r="R53" i="16"/>
  <c r="S32" i="16"/>
  <c r="J25" i="16"/>
  <c r="J21" i="16"/>
  <c r="J20" i="16"/>
  <c r="J18" i="16"/>
  <c r="C4" i="16"/>
  <c r="C3" i="16"/>
  <c r="C2" i="16"/>
  <c r="F33" i="3"/>
  <c r="E33" i="3"/>
  <c r="E15" i="3"/>
  <c r="E14" i="3"/>
  <c r="E13" i="3"/>
  <c r="E17" i="3" s="1"/>
  <c r="R31" i="15"/>
  <c r="Q52" i="15"/>
  <c r="E31" i="15"/>
  <c r="D52" i="15"/>
  <c r="L41" i="15"/>
  <c r="L40" i="15"/>
  <c r="E3" i="15"/>
  <c r="L31" i="15"/>
  <c r="L32" i="15"/>
  <c r="E24" i="15"/>
  <c r="E22" i="15"/>
  <c r="E17" i="15"/>
  <c r="E16" i="15"/>
  <c r="E14" i="15"/>
  <c r="R24" i="15"/>
  <c r="R22" i="15"/>
  <c r="R17" i="15"/>
  <c r="R16" i="15"/>
  <c r="K4" i="15"/>
  <c r="R14" i="15"/>
  <c r="R25" i="15"/>
  <c r="R27" i="15" s="1"/>
  <c r="E25" i="15"/>
  <c r="K5" i="15"/>
  <c r="K3" i="15"/>
  <c r="E2" i="15"/>
  <c r="E5" i="15" s="1"/>
  <c r="E23" i="15" s="1"/>
  <c r="E17" i="13"/>
  <c r="E7" i="13"/>
  <c r="E16" i="13"/>
  <c r="E38" i="14"/>
  <c r="E11" i="14"/>
  <c r="E10" i="14"/>
  <c r="E9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15" i="15" l="1"/>
  <c r="R19" i="15"/>
  <c r="E32" i="3"/>
  <c r="F32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7" l="1"/>
  <c r="E9" i="3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27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E8" i="13" s="1"/>
  <c r="R54" i="1" l="1"/>
  <c r="P55" i="1"/>
  <c r="R3" i="15" l="1"/>
  <c r="R23" i="15" s="1"/>
  <c r="R26" i="15" s="1"/>
  <c r="R28" i="15" s="1"/>
  <c r="E18" i="3"/>
  <c r="E24" i="3" s="1"/>
  <c r="P56" i="1"/>
  <c r="R55" i="1"/>
  <c r="S3" i="4"/>
  <c r="E19" i="3" l="1"/>
  <c r="E20" i="3" s="1"/>
  <c r="R15" i="15"/>
  <c r="R18" i="15" s="1"/>
  <c r="R20" i="15" s="1"/>
  <c r="R30" i="15" s="1"/>
  <c r="E29" i="14"/>
  <c r="S11" i="4"/>
  <c r="S12" i="4" s="1"/>
  <c r="E30" i="14" s="1"/>
  <c r="R56" i="1"/>
  <c r="P57" i="1"/>
  <c r="R37" i="15" l="1"/>
  <c r="E40" i="14"/>
  <c r="E41" i="14" s="1"/>
  <c r="E18" i="13"/>
  <c r="E19" i="13" s="1"/>
  <c r="R57" i="1"/>
  <c r="P58" i="1"/>
  <c r="C1" i="16" s="1"/>
  <c r="S6" i="16" s="1"/>
  <c r="S3" i="16" l="1"/>
  <c r="S4" i="16"/>
  <c r="S23" i="16" s="1"/>
  <c r="J22" i="16"/>
  <c r="J23" i="16"/>
  <c r="E9" i="16"/>
  <c r="E10" i="16" s="1"/>
  <c r="E11" i="16" s="1"/>
  <c r="E12" i="16" s="1"/>
  <c r="E13" i="16" s="1"/>
  <c r="S45" i="16" s="1"/>
  <c r="Z5" i="7"/>
  <c r="K17" i="4"/>
  <c r="S16" i="4"/>
  <c r="S13" i="4"/>
  <c r="S14" i="4" s="1"/>
  <c r="S15" i="4" s="1"/>
  <c r="K14" i="4"/>
  <c r="K15" i="4" s="1"/>
  <c r="K16" i="4" s="1"/>
  <c r="K20" i="4" s="1"/>
  <c r="S15" i="16" l="1"/>
  <c r="S24" i="16"/>
  <c r="S26" i="16"/>
  <c r="S25" i="16"/>
  <c r="J26" i="16"/>
  <c r="E14" i="16"/>
  <c r="E15" i="16" s="1"/>
  <c r="E16" i="16" s="1"/>
  <c r="S46" i="16" s="1"/>
  <c r="S47" i="16" s="1"/>
  <c r="S49" i="16" s="1"/>
  <c r="K23" i="4" a="1"/>
  <c r="K23" i="4" s="1"/>
  <c r="K24" i="4" a="1"/>
  <c r="K24" i="4" s="1"/>
  <c r="K21" i="4" a="1"/>
  <c r="K21" i="4" s="1"/>
  <c r="E23" i="3" s="1"/>
  <c r="K22" i="4" a="1"/>
  <c r="K22" i="4" s="1"/>
  <c r="S20" i="4"/>
  <c r="S23" i="4" s="1" a="1"/>
  <c r="S23" i="4" s="1"/>
  <c r="G23" i="12"/>
  <c r="K18" i="4"/>
  <c r="C23" i="12"/>
  <c r="S17" i="4"/>
  <c r="S18" i="4" s="1"/>
  <c r="S18" i="16" l="1"/>
  <c r="S17" i="16"/>
  <c r="S16" i="16"/>
  <c r="S19" i="16" s="1"/>
  <c r="S50" i="16"/>
  <c r="R40" i="15"/>
  <c r="C18" i="12"/>
  <c r="C19" i="12" s="1"/>
  <c r="C20" i="12" s="1"/>
  <c r="S22" i="4" a="1"/>
  <c r="S22" i="4" s="1"/>
  <c r="E5" i="14" s="1"/>
  <c r="E7" i="14" s="1"/>
  <c r="S24" i="4" a="1"/>
  <c r="S24" i="4" s="1"/>
  <c r="S21" i="4" a="1"/>
  <c r="S21" i="4" s="1"/>
  <c r="E40" i="15"/>
  <c r="E36" i="15"/>
  <c r="E44" i="15"/>
  <c r="E45" i="15" s="1"/>
  <c r="E46" i="15" s="1"/>
  <c r="E19" i="7"/>
  <c r="E3" i="14" s="1"/>
  <c r="E16" i="2"/>
  <c r="C22" i="12"/>
  <c r="C21" i="12"/>
  <c r="E28" i="3"/>
  <c r="E15" i="2"/>
  <c r="S20" i="16" l="1"/>
  <c r="S21" i="16" s="1"/>
  <c r="R36" i="15"/>
  <c r="R44" i="15"/>
  <c r="R45" i="15" s="1"/>
  <c r="R46" i="15" s="1"/>
  <c r="E22" i="3"/>
  <c r="G18" i="12"/>
  <c r="G22" i="12" s="1"/>
  <c r="E49" i="15"/>
  <c r="R49" i="15"/>
  <c r="R41" i="15"/>
  <c r="R42" i="15" s="1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23" i="7"/>
  <c r="M13" i="7"/>
  <c r="S27" i="16" l="1"/>
  <c r="S28" i="16"/>
  <c r="R54" i="15"/>
  <c r="R55" i="15" s="1"/>
  <c r="R56" i="15" s="1"/>
  <c r="R57" i="15" s="1"/>
  <c r="G21" i="12"/>
  <c r="G19" i="12"/>
  <c r="G20" i="12" s="1"/>
  <c r="X11" i="7"/>
  <c r="X10" i="7"/>
  <c r="Z11" i="7"/>
  <c r="Z10" i="7"/>
  <c r="S29" i="16" l="1"/>
  <c r="S31" i="16" s="1"/>
  <c r="S38" i="16" s="1"/>
  <c r="M14" i="7"/>
  <c r="M17" i="7" s="1"/>
  <c r="S42" i="16" l="1"/>
  <c r="S43" i="16" s="1"/>
  <c r="S55" i="16"/>
  <c r="S56" i="16" s="1"/>
  <c r="S57" i="16" s="1"/>
  <c r="M18" i="7"/>
  <c r="M19" i="7" s="1"/>
  <c r="S58" i="16" l="1"/>
  <c r="E30" i="15"/>
  <c r="E41" i="15" s="1"/>
  <c r="E42" i="15" l="1"/>
  <c r="E37" i="15"/>
  <c r="E54" i="15" s="1"/>
  <c r="E55" i="15" s="1"/>
  <c r="E56" i="15" s="1"/>
  <c r="E57" i="1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<sst xmlns="http://schemas.openxmlformats.org/spreadsheetml/2006/main" count="1225" uniqueCount="508">
  <si>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</si>
  <si>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</si>
  <si>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</si>
  <si>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</si>
  <si>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</si>
  <si>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</si>
  <si>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</si>
  <si>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</si>
  <si>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</si>
  <si>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</si>
  <si>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</si>
  <si>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</si>
  <si>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</si>
  <si>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</si>
  <si>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</si>
  <si>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</si>
  <si>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</si>
  <si>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</si>
  <si>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</si>
  <si>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</si>
  <si>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</si>
  <si>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</si>
  <si>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</si>
  <si>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</si>
  <si>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</si>
  <si>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</si>
  <si>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</si>
  <si>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</si>
  <si>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</si>
  <si>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</si>
  <si>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</si>
  <si>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</si>
  <si>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</si>
  <si>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</si>
  <si>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</si>
  <si>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</si>
  <si>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</si>
  <si>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</si>
  <si>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</si>
  <si>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</si>
  <si>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</si>
  <si>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</si>
  <si>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</si>
  <si>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</si>
  <si>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</si>
  <si>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</si>
  <si>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</si>
  <si>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</si>
  <si>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</si>
  <si>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</si>
  <si>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</si>
  <si>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</si>
  <si>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</si>
  <si>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</si>
  <si>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</si>
  <si>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</si>
  <si>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</si>
  <si>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</si>
  <si>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</si>
  <si>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</si>
  <si>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</si>
  <si>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</si>
  <si>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</si>
  <si>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</si>
  <si>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</si>
  <si>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</si>
  <si>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</si>
  <si>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</si>
  <si>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</si>
  <si>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</si>
  <si>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</si>
  <si>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</si>
  <si>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</si>
  <si>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</si>
  <si>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</si>
  <si>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</si>
  <si>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</si>
  <si>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</si>
  <si>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</si>
  <si>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</si>
  <si>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</si>
  <si>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</si>
  <si>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</si>
  <si>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</si>
  <si>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</si>
  <si>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</si>
  <si>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</si>
  <si>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</si>
  <si>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</si>
  <si>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</si>
  <si>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</si>
  <si>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</si>
  <si>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</si>
  <si>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</si>
  <si>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</si>
  <si>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</si>
  <si>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</si>
  <si>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</si>
  <si>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</si>
  <si>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</si>
  <si>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</si>
  <si>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</si>
  <si>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</si>
  <si>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</si>
  <si>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</si>
  <si>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</si>
  <si>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</si>
  <si>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</si>
  <si>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</si>
  <si>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</si>
  <si>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</si>
  <si>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</si>
  <si>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</si>
  <si>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</si>
  <si>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</si>
  <si>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</si>
  <si>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</si>
  <si>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</si>
  <si>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</si>
  <si>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</si>
  <si>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</si>
  <si>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</si>
  <si>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</si>
  <si>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</si>
  <si>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</si>
  <si>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</si>
  <si>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</si>
  <si>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</si>
  <si>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</si>
  <si>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</si>
  <si>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</si>
  <si>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</si>
  <si>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</si>
  <si>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</si>
  <si>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</si>
  <si>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</si>
  <si>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</si>
  <si>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</si>
  <si>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</si>
  <si>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</si>
  <si>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</si>
  <si>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</si>
  <si>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</si>
  <si>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</si>
  <si>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</si>
  <si>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</si>
  <si>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</si>
  <si>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</si>
  <si>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</si>
  <si>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</si>
  <si>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</si>
  <si>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</si>
  <si>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</si>
  <si>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</si>
  <si>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</si>
  <si>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</si>
  <si>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</si>
  <si>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</si>
  <si>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</si>
  <si>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</si>
  <si>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</si>
  <si>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</si>
  <si>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</si>
  <si>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</si>
  <si>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</si>
  <si>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</si>
  <si>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</si>
  <si>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</si>
  <si>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</si>
  <si>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</si>
  <si>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</si>
  <si>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</si>
  <si>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</si>
  <si>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</si>
  <si>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</si>
  <si>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</si>
  <si>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</si>
  <si>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</si>
  <si>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</si>
  <si>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</si>
  <si>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</si>
  <si>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</si>
  <si>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</si>
  <si>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</si>
  <si>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</si>
  <si>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</si>
  <si>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</si>
  <si>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</si>
  <si>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</si>
  <si>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</si>
  <si>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</si>
  <si>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</si>
  <si>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</si>
  <si>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</si>
  <si>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</si>
  <si>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</si>
  <si>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</si>
  <si>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</si>
  <si>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</si>
  <si>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</si>
  <si>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</si>
  <si>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</si>
  <si>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</si>
  <si>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</si>
  <si>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</si>
  <si>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</si>
  <si>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</si>
  <si>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</si>
  <si>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</si>
  <si>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</si>
  <si>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</si>
  <si>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</si>
  <si>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</si>
  <si>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</si>
  <si>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</si>
  <si>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</si>
  <si>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</si>
  <si>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</si>
  <si>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</si>
  <si>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</si>
  <si>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</si>
  <si>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</si>
  <si>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</si>
  <si>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</si>
  <si>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</si>
  <si>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</si>
  <si>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</si>
  <si>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</si>
  <si>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</si>
  <si>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</si>
  <si>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</si>
  <si>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</si>
  <si>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</si>
  <si>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</si>
  <si>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</si>
  <si>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</si>
  <si>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</si>
  <si>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</si>
  <si>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</si>
  <si>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</si>
  <si>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</si>
  <si>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</si>
  <si>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</si>
  <si>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</si>
  <si>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</si>
  <si>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</si>
  <si>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</si>
  <si>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</si>
  <si>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</si>
  <si>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</si>
  <si>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</si>
  <si>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</si>
  <si>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</si>
  <si>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</si>
  <si>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</si>
  <si>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</si>
  <si>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</si>
  <si>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</si>
  <si>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</si>
  <si>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</si>
  <si>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</si>
  <si>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</si>
  <si>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</si>
  <si>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</si>
  <si>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</si>
  <si>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</si>
  <si>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</si>
  <si>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</si>
  <si>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</si>
  <si>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</si>
  <si>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</si>
  <si>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</si>
  <si>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</si>
  <si>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</si>
  <si>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</si>
  <si>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</si>
  <si>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</si>
  <si>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</si>
  <si>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</si>
  <si>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</si>
  <si>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</si>
  <si>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</si>
  <si>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</si>
  <si>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</si>
  <si>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</si>
  <si>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</si>
  <si>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</si>
  <si>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</si>
  <si>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</si>
  <si>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</si>
  <si>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</si>
  <si>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</si>
  <si>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</si>
  <si>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</si>
  <si>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</si>
  <si>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</si>
  <si>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</si>
  <si>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</si>
  <si>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</si>
  <si>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</si>
  <si>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</si>
  <si>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</si>
  <si>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</si>
  <si>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</si>
  <si>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</si>
  <si>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</si>
  <si>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</si>
  <si>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</si>
  <si>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</si>
  <si>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</si>
  <si>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</si>
  <si>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</si>
  <si>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</si>
  <si>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</si>
  <si>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</si>
  <si>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</si>
  <si>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</si>
  <si>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</si>
  <si>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</si>
  <si>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</si>
  <si>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</si>
  <si>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</si>
  <si>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</si>
  <si>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</si>
  <si>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</si>
  <si>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</si>
  <si>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</si>
  <si>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</si>
  <si>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</si>
  <si>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</si>
  <si>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</si>
  <si>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</si>
  <si>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</si>
  <si>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</si>
  <si>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</si>
  <si>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</si>
  <si>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</si>
  <si>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</si>
  <si>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</si>
  <si>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</si>
  <si>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</si>
  <si>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</si>
  <si>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</si>
  <si>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</si>
  <si>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</si>
  <si>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</si>
  <si>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</si>
  <si>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</si>
  <si>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H7/u8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</si>
  <si>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</si>
  <si>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</si>
  <si>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</si>
  <si>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</si>
  <si>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</si>
  <si>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</si>
  <si>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Выбор гидроизолирующих элементов (манжетт)</t>
  </si>
  <si>
    <t>Выбор диаметров валов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</si>
  <si>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</si>
  <si>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</si>
  <si>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</si>
  <si>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</si>
  <si>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</si>
  <si>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</si>
  <si>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</si>
  <si>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Высота шпонки h</t>
  </si>
  <si>
    <t>Глубина паза t2 (внешний)</t>
  </si>
  <si>
    <t>Глубина паза t1 (вала)</t>
  </si>
  <si>
    <t>Предел текучести</t>
  </si>
  <si>
    <t>Предел на смятие</t>
  </si>
  <si>
    <t>Предел на смятие шпонки</t>
  </si>
  <si>
    <t>Расчёт длинны шпонки из условия несмятия</t>
  </si>
  <si>
    <t>МПа</t>
  </si>
  <si>
    <t>Рабочая длинна шпонки</t>
  </si>
  <si>
    <t>Минимальная высота шпонки</t>
  </si>
  <si>
    <t>Высота смятия шпонки</t>
  </si>
  <si>
    <t>Расчёт сил в узлах</t>
  </si>
  <si>
    <t>Длинны</t>
  </si>
  <si>
    <t>Длинна 12</t>
  </si>
  <si>
    <t>Длинна 23</t>
  </si>
  <si>
    <t>Длинна 34</t>
  </si>
  <si>
    <t>Радиальная косольная сила</t>
  </si>
  <si>
    <t>Осевая сила Fa</t>
  </si>
  <si>
    <t>Радиальная сила Fr</t>
  </si>
  <si>
    <t>Окружная сила Ft</t>
  </si>
  <si>
    <t>Окружная консольная сила</t>
  </si>
  <si>
    <t>Эквиавлетные коэффициент нагружения</t>
  </si>
  <si>
    <t>Окружная от передачи</t>
  </si>
  <si>
    <t>Окружная от консольной</t>
  </si>
  <si>
    <t>Радиальная от передачи</t>
  </si>
  <si>
    <t>Радиальная от консольной</t>
  </si>
  <si>
    <t>Реакция в 1 подшипнике</t>
  </si>
  <si>
    <t>Радиальная</t>
  </si>
  <si>
    <t>Окружная</t>
  </si>
  <si>
    <t>Суммарная</t>
  </si>
  <si>
    <t>Реакция во 2 подшипнике</t>
  </si>
  <si>
    <t>Расчёт подшипников</t>
  </si>
  <si>
    <t>Вероятность безотказной работы</t>
  </si>
  <si>
    <t>показатель степени кривой усталости (q)</t>
  </si>
  <si>
    <t>Статическая грузоподъёмность</t>
  </si>
  <si>
    <t>Максимальная радиальная</t>
  </si>
  <si>
    <t>Эквивалетная нагрузка</t>
  </si>
  <si>
    <t xml:space="preserve"> X0</t>
  </si>
  <si>
    <t>Динамическая грузоподъёмность</t>
  </si>
  <si>
    <t>Требуемый ресурс</t>
  </si>
  <si>
    <t>ч</t>
  </si>
  <si>
    <t>Малоциклевая усталость</t>
  </si>
  <si>
    <t>Лёгкая нагрузка</t>
  </si>
  <si>
    <t>Коэффициент Aiso</t>
  </si>
  <si>
    <t>Частота об/мин</t>
  </si>
  <si>
    <t>Достаточно долговечен</t>
  </si>
  <si>
    <t>Y0</t>
  </si>
  <si>
    <t>Центровой диаметр тел качения</t>
  </si>
  <si>
    <t>Кинематическая вязкость масла</t>
  </si>
  <si>
    <t>Номинальная кинематическая вязкость</t>
  </si>
  <si>
    <t>Предел усталостной нагрузки (Cu)</t>
  </si>
  <si>
    <t>Коэффициент относительной вязкости k</t>
  </si>
  <si>
    <t>Коэффициент загрязнения (ec)</t>
  </si>
  <si>
    <t>c</t>
  </si>
  <si>
    <t>f</t>
  </si>
  <si>
    <t>s</t>
  </si>
  <si>
    <t>g</t>
  </si>
  <si>
    <t>Коэффициент эквивалентности (KE)</t>
  </si>
  <si>
    <t>Тип нагружения</t>
  </si>
  <si>
    <t>r</t>
  </si>
  <si>
    <t>Темпрературный коэффицент Kt</t>
  </si>
  <si>
    <t>Cr</t>
  </si>
  <si>
    <t>C0r</t>
  </si>
  <si>
    <t>Баз. дин. Грузоподъёмность</t>
  </si>
  <si>
    <t>баз. стат. грузоподъёмность</t>
  </si>
  <si>
    <t>Степень нагружения</t>
  </si>
  <si>
    <t>Базовая динамическая грузоподъёмность C</t>
  </si>
  <si>
    <t>Базовая статическая грузоподъёмность</t>
  </si>
  <si>
    <t>Коэффициент безопасности Kб</t>
  </si>
  <si>
    <t>Коэффициент долговечности a1</t>
  </si>
  <si>
    <t>Коэффициент вращения кольца подшипника</t>
  </si>
  <si>
    <t>Максимальная осевая</t>
  </si>
  <si>
    <t>Приведённый габарит</t>
  </si>
  <si>
    <t>м</t>
  </si>
  <si>
    <t>Момент на тихоходном валу</t>
  </si>
  <si>
    <t>Толщина стенки (чугунной)</t>
  </si>
  <si>
    <t>Толщина стенки (алюминиевой)</t>
  </si>
  <si>
    <t>Прилив тихоходного подшипников</t>
  </si>
  <si>
    <t>Прилив быстроходного подшипников</t>
  </si>
  <si>
    <t>Диаметр винтов</t>
  </si>
  <si>
    <t>Создание базовой структуры корпуса</t>
  </si>
  <si>
    <t>Выбор и добавление винтов крепления крышки к корпусу</t>
  </si>
  <si>
    <t>Выбор и добавление винтов и площадок крепления к полу</t>
  </si>
  <si>
    <t>Корпус</t>
  </si>
  <si>
    <t>Выбор и добавление маслослива</t>
  </si>
  <si>
    <t>Выбор и добаление контроля уровня масла (щуп/окошки)</t>
  </si>
  <si>
    <t>Выбор и добавление отдушины (отдельной/вместе с маслозаливочной пробкой)</t>
  </si>
  <si>
    <t>Выбор и создание маслозаливочных пробки (или крышки)</t>
  </si>
  <si>
    <t>Добавление штифтов</t>
  </si>
  <si>
    <t>Добавлени способа открепления крышки</t>
  </si>
  <si>
    <t>Выбор масла и его свойств</t>
  </si>
  <si>
    <t>Методичка по Фомину</t>
  </si>
  <si>
    <t>=&gt;</t>
  </si>
  <si>
    <t>И-Г-А-32</t>
  </si>
  <si>
    <t>Момент:</t>
  </si>
  <si>
    <t>Шлицевое соединение, подвижное</t>
  </si>
  <si>
    <t>Посдка центрирующих:</t>
  </si>
  <si>
    <t>Посадка боковых:</t>
  </si>
  <si>
    <t>H7/js6</t>
  </si>
  <si>
    <t>D9/js7</t>
  </si>
  <si>
    <t>ГОСТ 1139-80, по наружному диаметру</t>
  </si>
  <si>
    <t>Серия</t>
  </si>
  <si>
    <t>лёгкая?</t>
  </si>
  <si>
    <t>Диаметр барабана:</t>
  </si>
  <si>
    <t>Выбор шпонки</t>
  </si>
  <si>
    <t>ГОСТ 23360-78</t>
  </si>
  <si>
    <t>Сферический</t>
  </si>
  <si>
    <t>e</t>
  </si>
  <si>
    <t>Y</t>
  </si>
  <si>
    <t>X</t>
  </si>
  <si>
    <t>d</t>
  </si>
  <si>
    <t>z</t>
  </si>
  <si>
    <t>[τср]</t>
  </si>
  <si>
    <t>Wp</t>
  </si>
  <si>
    <t>мм^3</t>
  </si>
  <si>
    <t>k неравн</t>
  </si>
  <si>
    <t>dm</t>
  </si>
  <si>
    <t>с</t>
  </si>
  <si>
    <t>Срез</t>
  </si>
  <si>
    <t>Смятие</t>
  </si>
  <si>
    <r>
      <t>[</t>
    </r>
    <r>
      <rPr>
        <sz val="11"/>
        <color theme="1"/>
        <rFont val="Calibri"/>
        <family val="2"/>
        <charset val="204"/>
      </rPr>
      <t>σсм</t>
    </r>
    <r>
      <rPr>
        <sz val="11"/>
        <color theme="1"/>
        <rFont val="Calibri"/>
        <family val="2"/>
        <charset val="204"/>
        <scheme val="minor"/>
      </rPr>
      <t>]</t>
    </r>
  </si>
  <si>
    <t>D-8x52x58H7/js6x10D9/js7 ГОСТ 1139-80</t>
  </si>
  <si>
    <t>Окружная сила на барабане</t>
  </si>
  <si>
    <t>Коэффициент радиальной силы</t>
  </si>
  <si>
    <t>Длинна 45</t>
  </si>
  <si>
    <t>1-муфта</t>
  </si>
  <si>
    <t>2-первый подшипник</t>
  </si>
  <si>
    <t>3-перая опора</t>
  </si>
  <si>
    <t>4-вторая опора</t>
  </si>
  <si>
    <t>5-второй подшипник</t>
  </si>
  <si>
    <t>Радиальная от барабана</t>
  </si>
  <si>
    <t>Окружная от барабана</t>
  </si>
  <si>
    <t>Нормальная чистота (2)</t>
  </si>
  <si>
    <t>Параметр точности</t>
  </si>
  <si>
    <t>Угловое смещение</t>
  </si>
  <si>
    <t>0.6/100</t>
  </si>
  <si>
    <t>минут</t>
  </si>
  <si>
    <t>мм/мм</t>
  </si>
  <si>
    <r>
      <t>Осевое смещение (</t>
    </r>
    <r>
      <rPr>
        <sz val="11"/>
        <color theme="1"/>
        <rFont val="Calibri"/>
        <family val="2"/>
        <charset val="204"/>
      </rPr>
      <t>ωs</t>
    </r>
    <r>
      <rPr>
        <sz val="11"/>
        <color theme="1"/>
        <rFont val="Calibri"/>
        <family val="2"/>
        <charset val="204"/>
        <scheme val="minor"/>
      </rPr>
      <t>)</t>
    </r>
  </si>
  <si>
    <r>
      <t>Радиальное смещение (</t>
    </r>
    <r>
      <rPr>
        <sz val="11"/>
        <color theme="1"/>
        <rFont val="Calibri"/>
        <family val="2"/>
        <charset val="204"/>
      </rPr>
      <t>Δs</t>
    </r>
    <r>
      <rPr>
        <sz val="11"/>
        <color theme="1"/>
        <rFont val="Calibri"/>
        <family val="2"/>
        <charset val="204"/>
        <scheme val="minor"/>
      </rPr>
      <t>)</t>
    </r>
  </si>
  <si>
    <t>От передачи</t>
  </si>
  <si>
    <t>От консоли</t>
  </si>
  <si>
    <t>Радиальная консольная сила</t>
  </si>
  <si>
    <t>Окржная консольная сила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</si>
</sst>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  <xf numFmtId="0" fontId="0" fillId="4" borderId="0" xfId="0" applyFill="1"/>
    <xf numFmtId="0" fontId="0" fillId="0" borderId="0" xfId="0" applyFill="1" applyAlignment="1"/>
    <xf numFmtId="49" fontId="0" fillId="0" borderId="5" xfId="0" applyNumberFormat="1" applyBorder="1"/>
    <xf numFmtId="0" fontId="0" fillId="6" borderId="7" xfId="0" applyFill="1" applyBorder="1"/>
    <xf numFmtId="0" fontId="0" fillId="0" borderId="0" xfId="0" quotePrefix="1"/>
    <xf numFmtId="0" fontId="0" fillId="0" borderId="4" xfId="0" applyBorder="1" applyAlignment="1"/>
    <xf numFmtId="0" fontId="0" fillId="9" borderId="0" xfId="0" applyFill="1" applyBorder="1"/>
    <xf numFmtId="0" fontId="4" fillId="0" borderId="4" xfId="0" applyFont="1" applyBorder="1"/>
    <xf numFmtId="0" fontId="0" fillId="0" borderId="4" xfId="0" applyFont="1" applyFill="1" applyBorder="1"/>
    <xf numFmtId="0" fontId="0" fillId="0" borderId="4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0" fillId="10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15</xdr:col>
      <xdr:colOff>182880</xdr:colOff>
      <xdr:row>0</xdr:row>
      <xdr:rowOff>167640</xdr:rowOff>
    </xdr:from>
    <xdr:to>
      <xdr:col>25</xdr:col>
      <xdr:colOff>174205</xdr:colOff>
      <xdr:row>11</xdr:row>
      <xdr:rowOff>166016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99960" y="16764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</xdr:colOff>
      <xdr:row>57</xdr:row>
      <xdr:rowOff>83820</xdr:rowOff>
    </xdr:from>
    <xdr:to>
      <xdr:col>12</xdr:col>
      <xdr:colOff>152400</xdr:colOff>
      <xdr:row>78</xdr:row>
      <xdr:rowOff>108269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A6BADC6-73EE-471E-B249-3A3E6A29B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" y="10507980"/>
          <a:ext cx="5646420" cy="3864929"/>
        </a:xfrm>
        <a:prstGeom prst="rect">
          <a:avLst/>
        </a:prstGeom>
      </xdr:spPr>
    </xdr:pic>
    <xdr:clientData/>
  </xdr:twoCellAnchor>
  <xdr:twoCellAnchor editAs="oneCell">
    <xdr:from>
      <xdr:col>14</xdr:col>
      <xdr:colOff>327660</xdr:colOff>
      <xdr:row>58</xdr:row>
      <xdr:rowOff>171762</xdr:rowOff>
    </xdr:from>
    <xdr:to>
      <xdr:col>23</xdr:col>
      <xdr:colOff>448695</xdr:colOff>
      <xdr:row>82</xdr:row>
      <xdr:rowOff>103893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38740CC-486F-4CE2-A3A1-BBD09E886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5140" y="10778802"/>
          <a:ext cx="4304415" cy="432125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zoomScaleNormal="100" workbookViewId="0">
      <selection activeCell="R56" sqref="R56:S56"/>
    </sheetView>
  </sheetViews>
  <sheetFormatPr defaultRowHeight="14.4" x14ac:dyDescent="0.3"/>
  <cols>
    <col min="1" max="28" width="6.77734375" customWidth="1"/>
  </cols>
  <sheetData>
    <row r="1" spans="1:37" x14ac:dyDescent="0.3">
      <c r="A1" s="107" t="s">
        <v>10</v>
      </c>
      <c r="B1" s="108"/>
      <c r="C1" s="108"/>
      <c r="D1" s="108"/>
      <c r="E1" s="108"/>
      <c r="F1" s="108"/>
      <c r="G1" s="6"/>
    </row>
    <row r="2" spans="1:37" x14ac:dyDescent="0.3">
      <c r="A2" s="107" t="s">
        <v>0</v>
      </c>
      <c r="B2" s="108"/>
      <c r="C2" s="108"/>
      <c r="D2" s="108"/>
      <c r="E2" s="19">
        <v>4</v>
      </c>
      <c r="F2" s="8" t="s">
        <v>4</v>
      </c>
      <c r="G2" s="6"/>
      <c r="I2" s="107" t="s">
        <v>54</v>
      </c>
      <c r="J2" s="108"/>
      <c r="K2" s="108"/>
      <c r="L2" s="108"/>
      <c r="M2" s="108">
        <f>E2*E3</f>
        <v>6.4</v>
      </c>
      <c r="N2" s="115"/>
      <c r="Q2" s="107" t="s">
        <v>29</v>
      </c>
      <c r="R2" s="108"/>
      <c r="S2" s="108"/>
      <c r="T2" s="8" t="s">
        <v>30</v>
      </c>
      <c r="U2" s="8" t="s">
        <v>31</v>
      </c>
      <c r="V2" s="6" t="s">
        <v>27</v>
      </c>
      <c r="AC2" s="107" t="s">
        <v>29</v>
      </c>
      <c r="AD2" s="108"/>
      <c r="AE2" s="108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109" t="s">
        <v>1</v>
      </c>
      <c r="B3" s="110"/>
      <c r="C3" s="110"/>
      <c r="D3" s="110"/>
      <c r="E3" s="20">
        <v>1.6</v>
      </c>
      <c r="F3" s="1" t="s">
        <v>5</v>
      </c>
      <c r="G3" s="3"/>
      <c r="I3" s="109" t="s">
        <v>23</v>
      </c>
      <c r="J3" s="110"/>
      <c r="K3" s="110"/>
      <c r="L3" s="110"/>
      <c r="M3" s="110"/>
      <c r="N3" s="112"/>
      <c r="Q3" s="109" t="s">
        <v>126</v>
      </c>
      <c r="R3" s="110"/>
      <c r="S3" s="110"/>
      <c r="T3" s="1">
        <v>0.96</v>
      </c>
      <c r="U3" s="1">
        <v>0.98</v>
      </c>
      <c r="V3" s="3">
        <f>AVERAGE(T3:U3)</f>
        <v>0.97</v>
      </c>
      <c r="AC3" s="109" t="s">
        <v>125</v>
      </c>
      <c r="AD3" s="110"/>
      <c r="AE3" s="110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109" t="s">
        <v>3</v>
      </c>
      <c r="B4" s="110"/>
      <c r="C4" s="110"/>
      <c r="D4" s="110"/>
      <c r="E4" s="111" t="s">
        <v>2</v>
      </c>
      <c r="F4" s="111"/>
      <c r="G4" s="118"/>
      <c r="I4" s="109" t="s">
        <v>24</v>
      </c>
      <c r="J4" s="110"/>
      <c r="K4" s="110"/>
      <c r="L4" s="110"/>
      <c r="M4" s="110"/>
      <c r="N4" s="112"/>
      <c r="Q4" s="109" t="s">
        <v>49</v>
      </c>
      <c r="R4" s="110"/>
      <c r="S4" s="110"/>
      <c r="T4" s="1">
        <v>0.95</v>
      </c>
      <c r="U4" s="1">
        <v>0.97</v>
      </c>
      <c r="V4" s="3">
        <f t="shared" ref="V4:V12" si="1">AVERAGE(T4:U4)</f>
        <v>0.96</v>
      </c>
      <c r="AC4" s="109" t="s">
        <v>48</v>
      </c>
      <c r="AD4" s="110"/>
      <c r="AE4" s="110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109" t="s">
        <v>6</v>
      </c>
      <c r="B5" s="110"/>
      <c r="C5" s="110"/>
      <c r="D5" s="110"/>
      <c r="E5" s="21">
        <v>10000</v>
      </c>
      <c r="F5" s="1" t="s">
        <v>11</v>
      </c>
      <c r="G5" s="3"/>
      <c r="I5" s="7"/>
      <c r="J5" s="1"/>
      <c r="K5" s="110" t="s">
        <v>25</v>
      </c>
      <c r="L5" s="110"/>
      <c r="M5" s="110" t="s">
        <v>27</v>
      </c>
      <c r="N5" s="112"/>
      <c r="Q5" s="109" t="s">
        <v>32</v>
      </c>
      <c r="R5" s="110"/>
      <c r="S5" s="110"/>
      <c r="T5" s="1">
        <v>0.95</v>
      </c>
      <c r="U5" s="1">
        <v>0.97</v>
      </c>
      <c r="V5" s="3">
        <f t="shared" si="1"/>
        <v>0.96</v>
      </c>
      <c r="AC5" s="109" t="s">
        <v>32</v>
      </c>
      <c r="AD5" s="110"/>
      <c r="AE5" s="110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109" t="s">
        <v>7</v>
      </c>
      <c r="B6" s="110"/>
      <c r="C6" s="110"/>
      <c r="D6" s="110"/>
      <c r="E6" s="21">
        <v>0.9</v>
      </c>
      <c r="F6" s="1"/>
      <c r="G6" s="3"/>
      <c r="I6" s="109" t="s">
        <v>26</v>
      </c>
      <c r="J6" s="110"/>
      <c r="K6" s="111">
        <v>2</v>
      </c>
      <c r="L6" s="111"/>
      <c r="M6" s="110">
        <v>0.99</v>
      </c>
      <c r="N6" s="112"/>
      <c r="Q6" s="109" t="s">
        <v>33</v>
      </c>
      <c r="R6" s="110"/>
      <c r="S6" s="110"/>
      <c r="T6" s="1">
        <v>0.92</v>
      </c>
      <c r="U6" s="1">
        <v>0.96</v>
      </c>
      <c r="V6" s="3">
        <f t="shared" si="1"/>
        <v>0.94</v>
      </c>
      <c r="AC6" s="109" t="s">
        <v>45</v>
      </c>
      <c r="AD6" s="110"/>
      <c r="AE6" s="110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109" t="s">
        <v>8</v>
      </c>
      <c r="B7" s="110"/>
      <c r="C7" s="110"/>
      <c r="D7" s="110"/>
      <c r="E7" s="21">
        <v>3</v>
      </c>
      <c r="F7" s="1"/>
      <c r="G7" s="3"/>
      <c r="I7" s="109" t="s">
        <v>28</v>
      </c>
      <c r="J7" s="110"/>
      <c r="K7" s="111">
        <v>2</v>
      </c>
      <c r="L7" s="111"/>
      <c r="M7" s="110">
        <v>0.98</v>
      </c>
      <c r="N7" s="112"/>
      <c r="Q7" s="109" t="s">
        <v>34</v>
      </c>
      <c r="R7" s="110"/>
      <c r="S7" s="110"/>
      <c r="T7" s="1">
        <v>0.72</v>
      </c>
      <c r="U7" s="1">
        <v>0.82</v>
      </c>
      <c r="V7" s="3">
        <f t="shared" si="1"/>
        <v>0.77</v>
      </c>
      <c r="AC7" s="109" t="s">
        <v>33</v>
      </c>
      <c r="AD7" s="110"/>
      <c r="AE7" s="110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19" t="s">
        <v>9</v>
      </c>
      <c r="B8" s="120"/>
      <c r="C8" s="120"/>
      <c r="D8" s="120"/>
      <c r="E8" s="22">
        <v>2.2000000000000002</v>
      </c>
      <c r="F8" s="4"/>
      <c r="G8" s="5"/>
      <c r="I8" s="109" t="s">
        <v>246</v>
      </c>
      <c r="J8" s="110"/>
      <c r="K8" s="111">
        <v>0</v>
      </c>
      <c r="L8" s="111"/>
      <c r="M8" s="116">
        <f>V11</f>
        <v>0.95</v>
      </c>
      <c r="N8" s="117"/>
      <c r="Q8" s="109" t="s">
        <v>35</v>
      </c>
      <c r="R8" s="110"/>
      <c r="S8" s="110"/>
      <c r="T8" s="1">
        <v>0.7</v>
      </c>
      <c r="U8" s="1">
        <v>0.8</v>
      </c>
      <c r="V8" s="3">
        <f t="shared" si="1"/>
        <v>0.75</v>
      </c>
      <c r="AC8" s="109" t="s">
        <v>46</v>
      </c>
      <c r="AD8" s="110"/>
      <c r="AE8" s="110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23" t="s">
        <v>14</v>
      </c>
      <c r="B9" s="124"/>
      <c r="C9" s="124"/>
      <c r="D9" s="124"/>
      <c r="E9" s="124"/>
      <c r="F9" s="124"/>
      <c r="G9" s="125"/>
      <c r="I9" s="109" t="s">
        <v>50</v>
      </c>
      <c r="J9" s="110"/>
      <c r="K9" s="110"/>
      <c r="L9" s="110"/>
      <c r="M9" s="113">
        <f>M7^K7*M6^K6*M8^K8</f>
        <v>0.94128803999999988</v>
      </c>
      <c r="N9" s="114"/>
      <c r="Q9" s="109" t="s">
        <v>36</v>
      </c>
      <c r="R9" s="110"/>
      <c r="S9" s="110"/>
      <c r="T9" s="1">
        <v>0.75</v>
      </c>
      <c r="U9" s="1">
        <v>0.85</v>
      </c>
      <c r="V9" s="3">
        <f t="shared" si="1"/>
        <v>0.8</v>
      </c>
      <c r="AC9" s="109" t="s">
        <v>47</v>
      </c>
      <c r="AD9" s="110"/>
      <c r="AE9" s="110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26" t="s">
        <v>12</v>
      </c>
      <c r="B10" s="127"/>
      <c r="C10" s="127"/>
      <c r="D10" s="127"/>
      <c r="E10" s="127"/>
      <c r="F10" s="127"/>
      <c r="G10" s="128"/>
      <c r="I10" s="109" t="s">
        <v>51</v>
      </c>
      <c r="J10" s="110"/>
      <c r="K10" s="110"/>
      <c r="L10" s="110"/>
      <c r="M10" s="111">
        <v>0.97</v>
      </c>
      <c r="N10" s="118"/>
      <c r="Q10" s="109" t="s">
        <v>37</v>
      </c>
      <c r="R10" s="110"/>
      <c r="S10" s="110"/>
      <c r="T10" s="1">
        <v>0.8</v>
      </c>
      <c r="U10" s="1">
        <v>0.9</v>
      </c>
      <c r="V10" s="3">
        <f t="shared" si="1"/>
        <v>0.85000000000000009</v>
      </c>
      <c r="AC10" s="119" t="s">
        <v>34</v>
      </c>
      <c r="AD10" s="120"/>
      <c r="AE10" s="120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23" t="s">
        <v>13</v>
      </c>
      <c r="B11" s="124"/>
      <c r="C11" s="124"/>
      <c r="D11" s="124"/>
      <c r="E11" s="124"/>
      <c r="F11" s="124"/>
      <c r="G11" s="125"/>
      <c r="I11" s="119" t="s">
        <v>55</v>
      </c>
      <c r="J11" s="120"/>
      <c r="K11" s="120"/>
      <c r="L11" s="120"/>
      <c r="M11" s="121">
        <f>M2/M10/M9</f>
        <v>7.0094783572623509</v>
      </c>
      <c r="N11" s="122"/>
      <c r="Q11" s="109" t="s">
        <v>38</v>
      </c>
      <c r="R11" s="110"/>
      <c r="S11" s="110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07" t="s">
        <v>17</v>
      </c>
      <c r="B12" s="108"/>
      <c r="C12" s="108"/>
      <c r="D12" s="108"/>
      <c r="E12" s="108" t="s">
        <v>18</v>
      </c>
      <c r="F12" s="108"/>
      <c r="G12" s="115"/>
      <c r="Q12" s="119" t="s">
        <v>39</v>
      </c>
      <c r="R12" s="120"/>
      <c r="S12" s="120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109" t="s">
        <v>19</v>
      </c>
      <c r="B13" s="110"/>
      <c r="C13" s="110"/>
      <c r="D13" s="110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109" t="s">
        <v>15</v>
      </c>
      <c r="B14" s="110"/>
      <c r="C14" s="110"/>
      <c r="D14" s="110"/>
      <c r="E14" s="21">
        <v>400</v>
      </c>
      <c r="F14" s="1" t="s">
        <v>16</v>
      </c>
      <c r="G14" s="3"/>
    </row>
    <row r="15" spans="1:37" x14ac:dyDescent="0.3">
      <c r="A15" s="119" t="s">
        <v>21</v>
      </c>
      <c r="B15" s="120"/>
      <c r="C15" s="120"/>
      <c r="D15" s="120"/>
      <c r="E15" s="22">
        <v>300</v>
      </c>
      <c r="F15" s="4" t="s">
        <v>22</v>
      </c>
      <c r="G15" s="5"/>
    </row>
    <row r="19" spans="9:29" x14ac:dyDescent="0.3">
      <c r="I19" s="107" t="s">
        <v>120</v>
      </c>
      <c r="J19" s="115"/>
      <c r="K19" s="107">
        <v>3000</v>
      </c>
      <c r="L19" s="108"/>
      <c r="M19" s="108"/>
      <c r="N19" s="115"/>
      <c r="O19" s="108">
        <v>1500</v>
      </c>
      <c r="P19" s="108"/>
      <c r="Q19" s="108"/>
      <c r="R19" s="108"/>
      <c r="S19" s="107">
        <v>1000</v>
      </c>
      <c r="T19" s="108"/>
      <c r="U19" s="108"/>
      <c r="V19" s="115"/>
      <c r="W19" s="108">
        <v>750</v>
      </c>
      <c r="X19" s="108"/>
      <c r="Y19" s="108"/>
      <c r="Z19" s="115"/>
      <c r="AC19" t="s">
        <v>351</v>
      </c>
    </row>
    <row r="20" spans="9:29" x14ac:dyDescent="0.3">
      <c r="I20" s="119" t="s">
        <v>115</v>
      </c>
      <c r="J20" s="133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5" t="s">
        <v>288</v>
      </c>
    </row>
    <row r="21" spans="9:29" x14ac:dyDescent="0.3">
      <c r="I21" s="109">
        <v>0.37</v>
      </c>
      <c r="J21" s="110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5" t="s">
        <v>289</v>
      </c>
    </row>
    <row r="22" spans="9:29" x14ac:dyDescent="0.3">
      <c r="I22" s="109">
        <v>0.55000000000000004</v>
      </c>
      <c r="J22" s="110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5" t="s">
        <v>291</v>
      </c>
    </row>
    <row r="23" spans="9:29" x14ac:dyDescent="0.3">
      <c r="I23" s="109">
        <v>0.75</v>
      </c>
      <c r="J23" s="110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5" t="s">
        <v>290</v>
      </c>
    </row>
    <row r="24" spans="9:29" x14ac:dyDescent="0.3">
      <c r="I24" s="109">
        <v>1.1000000000000001</v>
      </c>
      <c r="J24" s="110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5" t="s">
        <v>292</v>
      </c>
    </row>
    <row r="25" spans="9:29" x14ac:dyDescent="0.3">
      <c r="I25" s="109">
        <v>1.5</v>
      </c>
      <c r="J25" s="110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5" t="s">
        <v>293</v>
      </c>
    </row>
    <row r="26" spans="9:29" x14ac:dyDescent="0.3">
      <c r="I26" s="109">
        <v>2.2000000000000002</v>
      </c>
      <c r="J26" s="110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5" t="s">
        <v>294</v>
      </c>
    </row>
    <row r="27" spans="9:29" x14ac:dyDescent="0.3">
      <c r="I27" s="109">
        <v>3</v>
      </c>
      <c r="J27" s="110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5" t="s">
        <v>296</v>
      </c>
    </row>
    <row r="28" spans="9:29" x14ac:dyDescent="0.3">
      <c r="I28" s="109">
        <v>4</v>
      </c>
      <c r="J28" s="110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5" t="s">
        <v>295</v>
      </c>
    </row>
    <row r="29" spans="9:29" x14ac:dyDescent="0.3">
      <c r="I29" s="109">
        <v>5.5</v>
      </c>
      <c r="J29" s="110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5" t="s">
        <v>298</v>
      </c>
    </row>
    <row r="30" spans="9:29" x14ac:dyDescent="0.3">
      <c r="I30" s="109">
        <v>7.5</v>
      </c>
      <c r="J30" s="110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5" t="s">
        <v>299</v>
      </c>
    </row>
    <row r="31" spans="9:29" x14ac:dyDescent="0.3">
      <c r="I31" s="109">
        <v>11</v>
      </c>
      <c r="J31" s="110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96" t="s">
        <v>309</v>
      </c>
    </row>
    <row r="32" spans="9:29" x14ac:dyDescent="0.3">
      <c r="I32" s="109">
        <v>15</v>
      </c>
      <c r="J32" s="110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B32">
        <v>169</v>
      </c>
      <c r="AC32" s="65" t="s">
        <v>354</v>
      </c>
    </row>
    <row r="33" spans="2:31" x14ac:dyDescent="0.3">
      <c r="I33" s="109">
        <v>18.5</v>
      </c>
      <c r="J33" s="110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B33">
        <v>177</v>
      </c>
      <c r="AC33" s="96" t="s">
        <v>308</v>
      </c>
    </row>
    <row r="34" spans="2:31" x14ac:dyDescent="0.3">
      <c r="I34" s="109">
        <v>22</v>
      </c>
      <c r="J34" s="110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B34">
        <v>179</v>
      </c>
      <c r="AC34" s="65" t="s">
        <v>356</v>
      </c>
    </row>
    <row r="35" spans="2:31" x14ac:dyDescent="0.3">
      <c r="I35" s="119">
        <v>30</v>
      </c>
      <c r="J35" s="120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B35">
        <v>67</v>
      </c>
      <c r="AC35" s="96" t="s">
        <v>353</v>
      </c>
    </row>
    <row r="36" spans="2:31" x14ac:dyDescent="0.3">
      <c r="G36" s="132" t="s">
        <v>118</v>
      </c>
      <c r="H36" s="132"/>
      <c r="I36" s="123">
        <f>_xlfn.MINIFS(I21:J35,I21:J35,"&gt;="&amp;M11)</f>
        <v>7.5</v>
      </c>
      <c r="J36" s="124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  <c r="AC36" s="96" t="s">
        <v>303</v>
      </c>
    </row>
    <row r="37" spans="2:31" x14ac:dyDescent="0.3">
      <c r="AC37" s="65" t="s">
        <v>355</v>
      </c>
    </row>
    <row r="38" spans="2:31" x14ac:dyDescent="0.3">
      <c r="C38" s="16"/>
      <c r="D38" s="16"/>
      <c r="E38" s="16"/>
      <c r="F38" s="16"/>
      <c r="G38" s="107" t="s">
        <v>40</v>
      </c>
      <c r="H38" s="108"/>
      <c r="I38" s="108"/>
      <c r="J38" s="115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s="65" t="s">
        <v>301</v>
      </c>
    </row>
    <row r="39" spans="2:31" x14ac:dyDescent="0.3">
      <c r="C39" s="16"/>
      <c r="D39" s="16"/>
      <c r="E39" s="16"/>
      <c r="F39" s="16"/>
      <c r="G39" s="109" t="s">
        <v>43</v>
      </c>
      <c r="H39" s="110"/>
      <c r="I39" s="110"/>
      <c r="J39" s="112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s="65" t="s">
        <v>297</v>
      </c>
    </row>
    <row r="40" spans="2:31" x14ac:dyDescent="0.3">
      <c r="C40" s="16"/>
      <c r="D40" s="1"/>
      <c r="E40" s="1"/>
      <c r="F40" s="1"/>
      <c r="G40" s="109" t="s">
        <v>117</v>
      </c>
      <c r="H40" s="110"/>
      <c r="I40" s="110" t="s">
        <v>116</v>
      </c>
      <c r="J40" s="112"/>
      <c r="K40" s="27" t="s">
        <v>119</v>
      </c>
      <c r="L40" s="4" t="s">
        <v>72</v>
      </c>
      <c r="M40" s="4"/>
      <c r="N40" s="4" t="s">
        <v>27</v>
      </c>
      <c r="O40" s="27" t="s">
        <v>119</v>
      </c>
      <c r="P40" s="4" t="s">
        <v>72</v>
      </c>
      <c r="Q40" s="4"/>
      <c r="R40" s="5" t="s">
        <v>27</v>
      </c>
      <c r="S40" s="27" t="s">
        <v>119</v>
      </c>
      <c r="T40" s="4" t="s">
        <v>72</v>
      </c>
      <c r="U40" s="4"/>
      <c r="V40" s="4" t="s">
        <v>27</v>
      </c>
      <c r="W40" s="27" t="s">
        <v>119</v>
      </c>
      <c r="X40" s="4" t="s">
        <v>72</v>
      </c>
      <c r="Y40" s="4"/>
      <c r="Z40" s="5" t="s">
        <v>27</v>
      </c>
      <c r="AC40" s="65" t="s">
        <v>300</v>
      </c>
    </row>
    <row r="41" spans="2:31" x14ac:dyDescent="0.3">
      <c r="C41" s="1"/>
      <c r="D41" s="1"/>
      <c r="E41" s="1"/>
      <c r="F41" s="1"/>
      <c r="G41" s="129">
        <v>160</v>
      </c>
      <c r="H41" s="130"/>
      <c r="I41" s="137">
        <f t="shared" ref="I41:I46" si="4">$E$3*60000/PI()/G41</f>
        <v>190.98593171027443</v>
      </c>
      <c r="J41" s="138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  <c r="AC41" s="132" t="s">
        <v>95</v>
      </c>
      <c r="AD41" s="132"/>
      <c r="AE41" s="132"/>
    </row>
    <row r="42" spans="2:31" x14ac:dyDescent="0.3">
      <c r="C42" s="1"/>
      <c r="D42" s="1"/>
      <c r="E42" s="1"/>
      <c r="F42" s="1"/>
      <c r="G42" s="131">
        <v>200</v>
      </c>
      <c r="H42" s="116"/>
      <c r="I42" s="135">
        <f t="shared" si="4"/>
        <v>152.78874536821954</v>
      </c>
      <c r="J42" s="139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B42">
        <v>198</v>
      </c>
      <c r="AC42" s="65" t="s">
        <v>454</v>
      </c>
    </row>
    <row r="43" spans="2:31" x14ac:dyDescent="0.3">
      <c r="C43" s="1"/>
      <c r="D43" s="1"/>
      <c r="E43" s="1"/>
      <c r="F43" s="1"/>
      <c r="G43" s="109">
        <v>250</v>
      </c>
      <c r="H43" s="110"/>
      <c r="I43" s="135">
        <f t="shared" si="4"/>
        <v>122.23099629457563</v>
      </c>
      <c r="J43" s="139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  <c r="AB43">
        <v>177</v>
      </c>
      <c r="AC43" s="65" t="s">
        <v>375</v>
      </c>
    </row>
    <row r="44" spans="2:31" x14ac:dyDescent="0.3">
      <c r="C44" s="1"/>
      <c r="D44" s="1"/>
      <c r="E44" s="1"/>
      <c r="F44" s="1"/>
      <c r="G44" s="109">
        <v>315</v>
      </c>
      <c r="H44" s="110"/>
      <c r="I44" s="135">
        <f t="shared" si="4"/>
        <v>97.008727217917169</v>
      </c>
      <c r="J44" s="139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A44" s="141" t="s">
        <v>455</v>
      </c>
      <c r="AB44" s="142"/>
      <c r="AC44" s="71" t="s">
        <v>306</v>
      </c>
    </row>
    <row r="45" spans="2:31" x14ac:dyDescent="0.3">
      <c r="C45" s="1"/>
      <c r="D45" s="1"/>
      <c r="E45" s="1"/>
      <c r="F45" s="1"/>
      <c r="G45" s="109">
        <v>400</v>
      </c>
      <c r="H45" s="110"/>
      <c r="I45" s="135">
        <f t="shared" si="4"/>
        <v>76.394372684109769</v>
      </c>
      <c r="J45" s="139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A45" s="141"/>
      <c r="AB45" s="142"/>
      <c r="AC45" s="71" t="s">
        <v>307</v>
      </c>
    </row>
    <row r="46" spans="2:31" x14ac:dyDescent="0.3">
      <c r="C46" s="1"/>
      <c r="D46" s="1"/>
      <c r="E46" s="1"/>
      <c r="F46" s="1"/>
      <c r="G46" s="119">
        <v>500</v>
      </c>
      <c r="H46" s="120"/>
      <c r="I46" s="134">
        <f t="shared" si="4"/>
        <v>61.115498147287816</v>
      </c>
      <c r="J46" s="140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  <c r="AC46" s="132" t="s">
        <v>447</v>
      </c>
      <c r="AD46" s="132"/>
      <c r="AE46" s="132"/>
    </row>
    <row r="47" spans="2:31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B47" t="s">
        <v>57</v>
      </c>
      <c r="AC47" s="71" t="s">
        <v>444</v>
      </c>
    </row>
    <row r="48" spans="2:31" x14ac:dyDescent="0.3">
      <c r="B48" s="107" t="s">
        <v>108</v>
      </c>
      <c r="C48" s="108"/>
      <c r="D48" s="108"/>
      <c r="E48" s="108"/>
      <c r="F48" s="108" t="str">
        <f>P46</f>
        <v>Цилиндрическая 1</v>
      </c>
      <c r="G48" s="115"/>
      <c r="H48" s="16"/>
      <c r="I48" s="16"/>
      <c r="J48" s="16"/>
      <c r="K48" s="36"/>
      <c r="L48" s="110" t="s">
        <v>56</v>
      </c>
      <c r="M48" s="110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  <c r="AB48">
        <v>298</v>
      </c>
      <c r="AC48" s="71" t="s">
        <v>445</v>
      </c>
    </row>
    <row r="49" spans="2:29" x14ac:dyDescent="0.3">
      <c r="B49" s="109" t="s">
        <v>41</v>
      </c>
      <c r="C49" s="110"/>
      <c r="D49" s="110"/>
      <c r="E49" s="110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  <c r="AB49">
        <v>300</v>
      </c>
      <c r="AC49" s="71" t="s">
        <v>446</v>
      </c>
    </row>
    <row r="50" spans="2:29" x14ac:dyDescent="0.3">
      <c r="B50" s="109" t="s">
        <v>96</v>
      </c>
      <c r="C50" s="110"/>
      <c r="D50" s="110"/>
      <c r="E50" s="110"/>
      <c r="F50" s="16">
        <f>P36</f>
        <v>1440</v>
      </c>
      <c r="G50" s="50" t="s">
        <v>310</v>
      </c>
      <c r="H50" s="16"/>
      <c r="P50" s="1"/>
      <c r="Q50" s="30"/>
      <c r="V50" s="25"/>
      <c r="X50" s="1"/>
      <c r="Y50" s="30"/>
      <c r="Z50" s="1"/>
      <c r="AB50">
        <v>300</v>
      </c>
      <c r="AC50" s="71" t="s">
        <v>452</v>
      </c>
    </row>
    <row r="51" spans="2:29" x14ac:dyDescent="0.3">
      <c r="B51" s="109" t="s">
        <v>103</v>
      </c>
      <c r="C51" s="110"/>
      <c r="D51" s="110"/>
      <c r="E51" s="110"/>
      <c r="F51" s="1">
        <f>F50*PI()/30</f>
        <v>150.79644737231007</v>
      </c>
      <c r="G51" s="50" t="s">
        <v>311</v>
      </c>
      <c r="H51" s="16"/>
      <c r="I51" s="123" t="s">
        <v>112</v>
      </c>
      <c r="J51" s="125"/>
      <c r="K51" s="33" t="s">
        <v>27</v>
      </c>
      <c r="L51" s="108" t="s">
        <v>119</v>
      </c>
      <c r="M51" s="108"/>
      <c r="N51" s="145" t="s">
        <v>408</v>
      </c>
      <c r="O51" s="145"/>
      <c r="P51" s="108" t="s">
        <v>113</v>
      </c>
      <c r="Q51" s="108"/>
      <c r="R51" s="145" t="s">
        <v>115</v>
      </c>
      <c r="S51" s="145"/>
      <c r="T51" s="49"/>
      <c r="U51" s="49"/>
      <c r="V51" s="49"/>
      <c r="X51" s="1"/>
      <c r="Y51" s="30"/>
      <c r="Z51" s="1"/>
      <c r="AB51" t="s">
        <v>57</v>
      </c>
      <c r="AC51" s="71" t="s">
        <v>453</v>
      </c>
    </row>
    <row r="52" spans="2:29" x14ac:dyDescent="0.3">
      <c r="B52" s="109" t="s">
        <v>42</v>
      </c>
      <c r="C52" s="110"/>
      <c r="D52" s="110"/>
      <c r="E52" s="110"/>
      <c r="F52" s="45">
        <f>I41</f>
        <v>190.98593171027443</v>
      </c>
      <c r="G52" s="50" t="s">
        <v>310</v>
      </c>
      <c r="H52" s="16"/>
      <c r="I52" s="109" t="s">
        <v>114</v>
      </c>
      <c r="J52" s="110"/>
      <c r="K52" s="42">
        <f>R36</f>
        <v>0.872</v>
      </c>
      <c r="L52" s="108">
        <v>1</v>
      </c>
      <c r="M52" s="108"/>
      <c r="N52" s="143">
        <f>F50</f>
        <v>1440</v>
      </c>
      <c r="O52" s="143"/>
      <c r="P52" s="136">
        <f>F55</f>
        <v>49.735919716217296</v>
      </c>
      <c r="Q52" s="136"/>
      <c r="R52" s="145">
        <f t="shared" ref="R52:R54" si="17">P52*N52*PI()/1000/30</f>
        <v>7.5000000000000009</v>
      </c>
      <c r="S52" s="145"/>
      <c r="T52" s="16"/>
      <c r="U52" s="30"/>
      <c r="X52" s="1"/>
      <c r="Y52" s="30"/>
      <c r="Z52" s="1"/>
      <c r="AB52">
        <v>315</v>
      </c>
      <c r="AC52" s="71" t="s">
        <v>451</v>
      </c>
    </row>
    <row r="53" spans="2:29" x14ac:dyDescent="0.3">
      <c r="B53" s="109" t="s">
        <v>105</v>
      </c>
      <c r="C53" s="110"/>
      <c r="D53" s="110"/>
      <c r="E53" s="110"/>
      <c r="F53" s="16">
        <f>G41</f>
        <v>160</v>
      </c>
      <c r="G53" s="50" t="s">
        <v>16</v>
      </c>
      <c r="H53" s="16"/>
      <c r="I53" s="109" t="s">
        <v>28</v>
      </c>
      <c r="J53" s="110"/>
      <c r="K53" s="7">
        <f>M7</f>
        <v>0.98</v>
      </c>
      <c r="L53" s="110">
        <v>1</v>
      </c>
      <c r="M53" s="110"/>
      <c r="N53" s="144">
        <f>N52/L53</f>
        <v>1440</v>
      </c>
      <c r="O53" s="144"/>
      <c r="P53" s="113">
        <f>P52*L53*K53</f>
        <v>48.741201321892952</v>
      </c>
      <c r="Q53" s="113"/>
      <c r="R53" s="146">
        <f t="shared" si="17"/>
        <v>7.3500000000000005</v>
      </c>
      <c r="S53" s="146"/>
      <c r="T53" s="1"/>
      <c r="AB53">
        <v>206</v>
      </c>
      <c r="AC53" s="71" t="s">
        <v>450</v>
      </c>
    </row>
    <row r="54" spans="2:29" x14ac:dyDescent="0.3">
      <c r="B54" s="109" t="s">
        <v>97</v>
      </c>
      <c r="C54" s="110"/>
      <c r="D54" s="110"/>
      <c r="E54" s="110"/>
      <c r="F54" s="44">
        <f ca="1">F55*F49*PRODUCT(K53:K57)</f>
        <v>339.37130342425513</v>
      </c>
      <c r="G54" s="50" t="s">
        <v>99</v>
      </c>
      <c r="H54" s="16"/>
      <c r="I54" s="109" t="s">
        <v>95</v>
      </c>
      <c r="J54" s="110"/>
      <c r="K54" s="7">
        <f>M6</f>
        <v>0.99</v>
      </c>
      <c r="L54" s="110">
        <v>1</v>
      </c>
      <c r="M54" s="110"/>
      <c r="N54" s="144">
        <f>N53/L54</f>
        <v>1440</v>
      </c>
      <c r="O54" s="144"/>
      <c r="P54" s="113">
        <f>P53*L54*K54</f>
        <v>48.253789308674023</v>
      </c>
      <c r="Q54" s="113"/>
      <c r="R54" s="146">
        <f t="shared" si="17"/>
        <v>7.2765000000000004</v>
      </c>
      <c r="S54" s="146"/>
      <c r="T54" s="1"/>
      <c r="AB54">
        <v>302</v>
      </c>
      <c r="AC54" s="71" t="s">
        <v>448</v>
      </c>
    </row>
    <row r="55" spans="2:29" x14ac:dyDescent="0.3">
      <c r="B55" s="109" t="s">
        <v>98</v>
      </c>
      <c r="C55" s="110"/>
      <c r="D55" s="110"/>
      <c r="E55" s="110"/>
      <c r="F55" s="1">
        <f>F56/F51*1000</f>
        <v>49.735919716217296</v>
      </c>
      <c r="G55" s="50" t="s">
        <v>99</v>
      </c>
      <c r="H55" s="16"/>
      <c r="I55" s="109" t="s">
        <v>94</v>
      </c>
      <c r="J55" s="110"/>
      <c r="K55" s="43">
        <f ca="1">Q41</f>
        <v>0.96143805509807656</v>
      </c>
      <c r="L55" s="113">
        <f>F49</f>
        <v>7.5398223686155026</v>
      </c>
      <c r="M55" s="113"/>
      <c r="N55" s="113">
        <f>N54/L55</f>
        <v>190.98593171027443</v>
      </c>
      <c r="O55" s="113"/>
      <c r="P55" s="135">
        <f ca="1">P54*L55*K55</f>
        <v>349.79520039605768</v>
      </c>
      <c r="Q55" s="135"/>
      <c r="R55" s="146">
        <f ca="1">P55*N55*PI()/1000/30</f>
        <v>6.9959040079211547</v>
      </c>
      <c r="S55" s="146"/>
      <c r="T55" s="1"/>
      <c r="AB55">
        <v>205</v>
      </c>
      <c r="AC55" s="71" t="s">
        <v>449</v>
      </c>
    </row>
    <row r="56" spans="2:29" x14ac:dyDescent="0.3">
      <c r="B56" s="109" t="s">
        <v>283</v>
      </c>
      <c r="C56" s="110"/>
      <c r="D56" s="110"/>
      <c r="E56" s="110"/>
      <c r="F56" s="1">
        <f>I36</f>
        <v>7.5</v>
      </c>
      <c r="G56" s="50" t="s">
        <v>106</v>
      </c>
      <c r="I56" s="109" t="s">
        <v>28</v>
      </c>
      <c r="J56" s="110"/>
      <c r="K56" s="7">
        <f>M7</f>
        <v>0.98</v>
      </c>
      <c r="L56" s="110">
        <v>1</v>
      </c>
      <c r="M56" s="110"/>
      <c r="N56" s="113">
        <f>N55/L56</f>
        <v>190.98593171027443</v>
      </c>
      <c r="O56" s="113"/>
      <c r="P56" s="135">
        <f ca="1">P55*L56*K56</f>
        <v>342.7992963881365</v>
      </c>
      <c r="Q56" s="135"/>
      <c r="R56" s="146">
        <f ca="1">P56*N56*PI()/1000/30</f>
        <v>6.8559859277627302</v>
      </c>
      <c r="S56" s="146"/>
      <c r="T56" s="1"/>
    </row>
    <row r="57" spans="2:29" x14ac:dyDescent="0.3">
      <c r="B57" s="109" t="s">
        <v>101</v>
      </c>
      <c r="C57" s="110"/>
      <c r="D57" s="110"/>
      <c r="E57" s="110"/>
      <c r="F57" s="1">
        <f>Q36</f>
        <v>2.2000000000000002</v>
      </c>
      <c r="G57" s="50"/>
      <c r="I57" s="109" t="s">
        <v>95</v>
      </c>
      <c r="J57" s="110"/>
      <c r="K57" s="7">
        <f>M6</f>
        <v>0.99</v>
      </c>
      <c r="L57" s="110">
        <v>1</v>
      </c>
      <c r="M57" s="110"/>
      <c r="N57" s="113">
        <f>N56/L57</f>
        <v>190.98593171027443</v>
      </c>
      <c r="O57" s="113"/>
      <c r="P57" s="135">
        <f ca="1">P56*L57*K57</f>
        <v>339.37130342425513</v>
      </c>
      <c r="Q57" s="135"/>
      <c r="R57" s="146">
        <f ca="1">P57*N57*PI()/1000/30</f>
        <v>6.7874260684851038</v>
      </c>
      <c r="S57" s="146"/>
      <c r="T57" s="1"/>
    </row>
    <row r="58" spans="2:29" x14ac:dyDescent="0.3">
      <c r="B58" s="109" t="s">
        <v>102</v>
      </c>
      <c r="C58" s="110"/>
      <c r="D58" s="110"/>
      <c r="E58" s="110"/>
      <c r="F58" s="44">
        <f>MAX(F57,E8)</f>
        <v>2.2000000000000002</v>
      </c>
      <c r="G58" s="50"/>
      <c r="I58" s="119" t="s">
        <v>129</v>
      </c>
      <c r="J58" s="120"/>
      <c r="K58" s="12"/>
      <c r="L58" s="4"/>
      <c r="M58" s="4"/>
      <c r="N58" s="121">
        <f>N57</f>
        <v>190.98593171027443</v>
      </c>
      <c r="O58" s="121"/>
      <c r="P58" s="134">
        <f ca="1">P57</f>
        <v>339.37130342425513</v>
      </c>
      <c r="Q58" s="134"/>
      <c r="R58" s="4"/>
      <c r="S58" s="4"/>
      <c r="T58" s="16"/>
    </row>
    <row r="59" spans="2:29" x14ac:dyDescent="0.3">
      <c r="B59" s="109" t="s">
        <v>107</v>
      </c>
      <c r="C59" s="110"/>
      <c r="D59" s="110"/>
      <c r="E59" s="110"/>
      <c r="F59" s="1">
        <f ca="1">K57*K55*K56*K54*K53</f>
        <v>0.90499014246468046</v>
      </c>
      <c r="G59" s="50"/>
      <c r="AC59" s="1" t="s">
        <v>314</v>
      </c>
    </row>
    <row r="60" spans="2:29" x14ac:dyDescent="0.3">
      <c r="B60" s="109" t="s">
        <v>109</v>
      </c>
      <c r="C60" s="110"/>
      <c r="D60" s="110"/>
      <c r="E60" s="110"/>
      <c r="F60" s="1">
        <f ca="1">F59*K52</f>
        <v>0.78915140422920138</v>
      </c>
      <c r="G60" s="50"/>
      <c r="AC60" s="49" t="s">
        <v>302</v>
      </c>
    </row>
    <row r="61" spans="2:29" x14ac:dyDescent="0.3">
      <c r="B61" s="110" t="s">
        <v>128</v>
      </c>
      <c r="C61" s="110"/>
      <c r="D61" s="110"/>
      <c r="E61" s="110"/>
      <c r="F61" s="67">
        <v>38</v>
      </c>
      <c r="G61" s="1" t="s">
        <v>16</v>
      </c>
    </row>
    <row r="62" spans="2:29" x14ac:dyDescent="0.3">
      <c r="B62" s="48"/>
      <c r="C62" s="48"/>
      <c r="D62" s="48"/>
      <c r="E62" s="48"/>
      <c r="F62" s="48"/>
    </row>
    <row r="63" spans="2:29" x14ac:dyDescent="0.3">
      <c r="B63" s="48"/>
      <c r="C63" s="48"/>
      <c r="D63" s="48"/>
      <c r="E63" s="48"/>
      <c r="F63" s="48"/>
      <c r="AB63">
        <v>183</v>
      </c>
      <c r="AC63" t="s">
        <v>304</v>
      </c>
    </row>
    <row r="64" spans="2:29" x14ac:dyDescent="0.3">
      <c r="AC64" t="s">
        <v>305</v>
      </c>
    </row>
    <row r="65" spans="7:7" x14ac:dyDescent="0.3">
      <c r="G65" s="51"/>
    </row>
  </sheetData>
  <mergeCells count="154">
    <mergeCell ref="R56:S56"/>
    <mergeCell ref="R57:S57"/>
    <mergeCell ref="P54:Q54"/>
    <mergeCell ref="P55:Q55"/>
    <mergeCell ref="N51:O51"/>
    <mergeCell ref="L51:M51"/>
    <mergeCell ref="L52:M52"/>
    <mergeCell ref="L53:M53"/>
    <mergeCell ref="AC46:AE46"/>
    <mergeCell ref="AC41:AE41"/>
    <mergeCell ref="AA44:AB45"/>
    <mergeCell ref="L54:M54"/>
    <mergeCell ref="L55:M55"/>
    <mergeCell ref="L48:M48"/>
    <mergeCell ref="M5:N5"/>
    <mergeCell ref="K6:L6"/>
    <mergeCell ref="M6:N6"/>
    <mergeCell ref="N52:O52"/>
    <mergeCell ref="N53:O53"/>
    <mergeCell ref="N54:O54"/>
    <mergeCell ref="N55:O55"/>
    <mergeCell ref="R51:S51"/>
    <mergeCell ref="R52:S52"/>
    <mergeCell ref="R53:S53"/>
    <mergeCell ref="R54:S54"/>
    <mergeCell ref="R55:S55"/>
    <mergeCell ref="I55:J55"/>
    <mergeCell ref="I54:J54"/>
    <mergeCell ref="I53:J53"/>
    <mergeCell ref="I52:J52"/>
    <mergeCell ref="P51:Q51"/>
    <mergeCell ref="P52:Q52"/>
    <mergeCell ref="P53:Q53"/>
    <mergeCell ref="I30:J30"/>
    <mergeCell ref="A15:D15"/>
    <mergeCell ref="I29:J29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I28:J28"/>
    <mergeCell ref="I24:J24"/>
    <mergeCell ref="I25:J25"/>
    <mergeCell ref="I26:J26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I57:J57"/>
    <mergeCell ref="I56:J56"/>
    <mergeCell ref="P56:Q56"/>
    <mergeCell ref="P57:Q57"/>
    <mergeCell ref="L56:M56"/>
    <mergeCell ref="L57:M57"/>
    <mergeCell ref="N56:O56"/>
    <mergeCell ref="N57:O57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I27:J27"/>
    <mergeCell ref="I31:J31"/>
    <mergeCell ref="I32:J32"/>
    <mergeCell ref="I33:J33"/>
    <mergeCell ref="I34:J34"/>
    <mergeCell ref="I35:J35"/>
    <mergeCell ref="I21:J21"/>
    <mergeCell ref="I22:J22"/>
    <mergeCell ref="I23:J23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10:AE10"/>
    <mergeCell ref="Q10:S10"/>
    <mergeCell ref="Q11:S11"/>
    <mergeCell ref="M11:N11"/>
    <mergeCell ref="S19:V19"/>
    <mergeCell ref="W19:Z19"/>
    <mergeCell ref="O19:R19"/>
    <mergeCell ref="Q12:S12"/>
    <mergeCell ref="Q6:S6"/>
    <mergeCell ref="Q7:S7"/>
    <mergeCell ref="I6:J6"/>
    <mergeCell ref="A14:D14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9:AE9"/>
    <mergeCell ref="Q8:S8"/>
    <mergeCell ref="Q9:S9"/>
    <mergeCell ref="M2:N2"/>
    <mergeCell ref="I2:L2"/>
    <mergeCell ref="I4:N4"/>
    <mergeCell ref="I3:N3"/>
    <mergeCell ref="I8:J8"/>
    <mergeCell ref="K8:L8"/>
    <mergeCell ref="M8:N8"/>
    <mergeCell ref="Q2:S2"/>
    <mergeCell ref="Q3:S3"/>
    <mergeCell ref="Q4:S4"/>
    <mergeCell ref="Q5:S5"/>
    <mergeCell ref="K5:L5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N9" sqref="N9"/>
    </sheetView>
  </sheetViews>
  <sheetFormatPr defaultRowHeight="14.4" x14ac:dyDescent="0.3"/>
  <cols>
    <col min="1" max="27" width="6.77734375" customWidth="1"/>
  </cols>
  <sheetData>
    <row r="2" spans="1:21" x14ac:dyDescent="0.3">
      <c r="A2" s="132" t="s">
        <v>166</v>
      </c>
      <c r="B2" s="132"/>
      <c r="C2" s="132"/>
      <c r="D2" s="132"/>
      <c r="E2" s="132"/>
      <c r="H2" s="132" t="s">
        <v>179</v>
      </c>
      <c r="I2" s="132"/>
      <c r="J2" s="132"/>
      <c r="K2" s="132"/>
      <c r="L2" s="132"/>
      <c r="P2" s="132" t="s">
        <v>178</v>
      </c>
      <c r="Q2" s="132"/>
      <c r="R2" s="132"/>
      <c r="S2" s="132"/>
      <c r="T2" s="132"/>
    </row>
    <row r="3" spans="1:21" x14ac:dyDescent="0.3">
      <c r="A3" s="132" t="s">
        <v>165</v>
      </c>
      <c r="B3" s="132"/>
      <c r="D3" s="60">
        <f>Электродвигатель!$P$53</f>
        <v>48.741201321892952</v>
      </c>
      <c r="E3" t="s">
        <v>99</v>
      </c>
      <c r="H3" s="110" t="s">
        <v>165</v>
      </c>
      <c r="I3" s="110"/>
      <c r="J3" s="110"/>
      <c r="K3" s="62">
        <f>D3</f>
        <v>48.741201321892952</v>
      </c>
      <c r="L3" t="s">
        <v>99</v>
      </c>
      <c r="P3" s="16" t="s">
        <v>165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32" t="s">
        <v>70</v>
      </c>
      <c r="B4" s="132"/>
      <c r="D4" s="61">
        <f>Электродвигатель!$N$52</f>
        <v>1440</v>
      </c>
      <c r="E4" t="s">
        <v>104</v>
      </c>
      <c r="H4" s="110" t="s">
        <v>70</v>
      </c>
      <c r="I4" s="110"/>
      <c r="J4" s="110"/>
      <c r="K4" s="63">
        <f>D4</f>
        <v>1440</v>
      </c>
      <c r="L4" t="s">
        <v>310</v>
      </c>
      <c r="P4" s="16" t="s">
        <v>70</v>
      </c>
      <c r="Q4" s="16"/>
      <c r="R4" s="16"/>
      <c r="S4" s="60">
        <f>Электродвигатель!N55</f>
        <v>190.98593171027443</v>
      </c>
      <c r="T4" t="s">
        <v>104</v>
      </c>
    </row>
    <row r="5" spans="1:21" x14ac:dyDescent="0.3">
      <c r="H5" s="132" t="s">
        <v>169</v>
      </c>
      <c r="I5" s="132"/>
      <c r="J5" s="132"/>
      <c r="K5" s="132"/>
      <c r="L5" s="132"/>
      <c r="P5" s="132" t="s">
        <v>121</v>
      </c>
      <c r="Q5" s="132"/>
      <c r="R5" s="132"/>
      <c r="S5" s="132"/>
      <c r="T5" s="132"/>
    </row>
    <row r="6" spans="1:21" x14ac:dyDescent="0.3">
      <c r="A6" s="132" t="s">
        <v>117</v>
      </c>
      <c r="B6" s="132"/>
      <c r="C6" s="132"/>
      <c r="D6" s="65">
        <f>Электродвигатель!$F$61</f>
        <v>38</v>
      </c>
      <c r="E6" t="s">
        <v>16</v>
      </c>
      <c r="H6" s="132" t="s">
        <v>168</v>
      </c>
      <c r="I6" s="132"/>
      <c r="J6" s="132"/>
      <c r="K6">
        <f>Передача!D55</f>
        <v>37.75</v>
      </c>
      <c r="L6" t="s">
        <v>16</v>
      </c>
      <c r="P6" s="132" t="s">
        <v>168</v>
      </c>
      <c r="Q6" s="132"/>
      <c r="R6" s="132"/>
      <c r="S6">
        <f>Передача!D60</f>
        <v>309.75</v>
      </c>
      <c r="T6" t="s">
        <v>16</v>
      </c>
    </row>
    <row r="7" spans="1:21" x14ac:dyDescent="0.3">
      <c r="A7" s="147" t="s">
        <v>191</v>
      </c>
      <c r="B7" s="147"/>
      <c r="C7" s="147"/>
      <c r="D7" s="52">
        <v>0.8</v>
      </c>
      <c r="H7" s="132" t="s">
        <v>177</v>
      </c>
      <c r="I7" s="132"/>
      <c r="J7" s="132"/>
      <c r="K7">
        <f>Передача!D54</f>
        <v>49</v>
      </c>
      <c r="L7" t="s">
        <v>16</v>
      </c>
      <c r="P7" s="132" t="s">
        <v>177</v>
      </c>
      <c r="Q7" s="132"/>
      <c r="R7" s="132"/>
      <c r="S7">
        <f>Передача!D59</f>
        <v>321</v>
      </c>
      <c r="T7" t="s">
        <v>16</v>
      </c>
    </row>
    <row r="8" spans="1:21" x14ac:dyDescent="0.3">
      <c r="A8" s="132" t="s">
        <v>187</v>
      </c>
      <c r="B8" s="132"/>
      <c r="C8" s="132"/>
      <c r="D8" s="69">
        <v>1.2</v>
      </c>
      <c r="H8" s="132" t="s">
        <v>158</v>
      </c>
      <c r="I8" s="132"/>
      <c r="J8" s="132"/>
      <c r="K8">
        <f>Передача!D56</f>
        <v>62</v>
      </c>
      <c r="L8" t="s">
        <v>16</v>
      </c>
      <c r="P8" s="132" t="s">
        <v>158</v>
      </c>
      <c r="Q8" s="132"/>
      <c r="R8" s="132"/>
      <c r="S8">
        <f>Передача!D61</f>
        <v>57</v>
      </c>
      <c r="T8" t="s">
        <v>16</v>
      </c>
    </row>
    <row r="9" spans="1:21" x14ac:dyDescent="0.3">
      <c r="H9" s="107" t="s">
        <v>180</v>
      </c>
      <c r="I9" s="108"/>
      <c r="J9" s="108"/>
      <c r="K9" s="108"/>
      <c r="L9" s="115"/>
      <c r="P9" s="132" t="s">
        <v>180</v>
      </c>
      <c r="Q9" s="132"/>
      <c r="R9" s="132"/>
      <c r="S9" s="132"/>
      <c r="T9" s="132"/>
    </row>
    <row r="10" spans="1:21" x14ac:dyDescent="0.3">
      <c r="H10" s="109" t="s">
        <v>176</v>
      </c>
      <c r="I10" s="110"/>
      <c r="J10" s="110"/>
      <c r="K10" s="1">
        <v>7.5</v>
      </c>
      <c r="L10" s="99" t="s">
        <v>183</v>
      </c>
      <c r="P10" s="132" t="s">
        <v>176</v>
      </c>
      <c r="Q10" s="132"/>
      <c r="R10" s="132"/>
      <c r="S10">
        <v>5.5</v>
      </c>
      <c r="T10" s="64" t="s">
        <v>184</v>
      </c>
    </row>
    <row r="11" spans="1:21" x14ac:dyDescent="0.3">
      <c r="H11" s="109" t="s">
        <v>188</v>
      </c>
      <c r="I11" s="110"/>
      <c r="J11" s="110"/>
      <c r="K11" s="1">
        <f>K10*(K3)^(1/3)</f>
        <v>27.396389985469561</v>
      </c>
      <c r="L11" s="3" t="s">
        <v>16</v>
      </c>
      <c r="P11" s="132" t="s">
        <v>188</v>
      </c>
      <c r="Q11" s="132"/>
      <c r="R11" s="132"/>
      <c r="S11">
        <f ca="1">S10*(S3)^(1/3)</f>
        <v>38.752581492317709</v>
      </c>
      <c r="T11" t="s">
        <v>16</v>
      </c>
    </row>
    <row r="12" spans="1:21" x14ac:dyDescent="0.3">
      <c r="H12" s="109" t="s">
        <v>192</v>
      </c>
      <c r="I12" s="110"/>
      <c r="J12" s="110"/>
      <c r="K12" s="1">
        <f>MIN(MAX(K11,D6/D8),D6/D7)</f>
        <v>31.666666666666668</v>
      </c>
      <c r="L12" s="3" t="s">
        <v>16</v>
      </c>
      <c r="P12" s="132" t="s">
        <v>181</v>
      </c>
      <c r="Q12" s="132"/>
      <c r="R12" s="132"/>
      <c r="S12" s="65">
        <f ca="1">_xlfn.MINIFS('Ra40'!$B:$B,'Ra40'!$B:$B,"&gt;="&amp;S11)</f>
        <v>40</v>
      </c>
      <c r="T12" t="s">
        <v>16</v>
      </c>
      <c r="U12" t="s">
        <v>190</v>
      </c>
    </row>
    <row r="13" spans="1:21" x14ac:dyDescent="0.3">
      <c r="H13" s="109" t="s">
        <v>181</v>
      </c>
      <c r="I13" s="110"/>
      <c r="J13" s="110"/>
      <c r="K13" s="71">
        <f>_xlfn.MINIFS('Ra40'!$B:$B,'Ra40'!$B:$B,"&gt;="&amp;K12)</f>
        <v>32</v>
      </c>
      <c r="L13" s="3" t="s">
        <v>16</v>
      </c>
      <c r="M13" t="s">
        <v>190</v>
      </c>
      <c r="P13" s="132" t="s">
        <v>189</v>
      </c>
      <c r="Q13" s="132"/>
      <c r="R13" s="132"/>
      <c r="S13">
        <f ca="1">_xlfn.MINIFS($28:$28,$26:$26,"&gt;="&amp;S12)</f>
        <v>3.5</v>
      </c>
      <c r="T13" t="s">
        <v>16</v>
      </c>
    </row>
    <row r="14" spans="1:21" x14ac:dyDescent="0.3">
      <c r="A14" s="132" t="s">
        <v>271</v>
      </c>
      <c r="B14" s="132"/>
      <c r="C14" s="132"/>
      <c r="D14">
        <f>Электродвигатель!$F$58</f>
        <v>2.2000000000000002</v>
      </c>
      <c r="H14" s="109" t="s">
        <v>189</v>
      </c>
      <c r="I14" s="110"/>
      <c r="J14" s="110"/>
      <c r="K14" s="1">
        <f>_xlfn.MINIFS($28:$28,$26:$26,"&gt;="&amp;K13)</f>
        <v>3.5</v>
      </c>
      <c r="L14" s="3" t="s">
        <v>16</v>
      </c>
      <c r="P14" s="132" t="s">
        <v>185</v>
      </c>
      <c r="Q14" s="132"/>
      <c r="R14" s="132"/>
      <c r="S14">
        <f ca="1">S12+2*S13</f>
        <v>47</v>
      </c>
      <c r="T14" t="s">
        <v>16</v>
      </c>
    </row>
    <row r="15" spans="1:21" x14ac:dyDescent="0.3">
      <c r="H15" s="109" t="s">
        <v>185</v>
      </c>
      <c r="I15" s="110"/>
      <c r="J15" s="110"/>
      <c r="K15" s="1">
        <f>K13+2*K14</f>
        <v>39</v>
      </c>
      <c r="L15" s="3" t="s">
        <v>16</v>
      </c>
      <c r="P15" s="132" t="s">
        <v>250</v>
      </c>
      <c r="Q15" s="132"/>
      <c r="R15" s="132"/>
      <c r="S15" s="65">
        <f ca="1">_xlfn.MINIFS(Подшипники!$A:$A,Подшипники!$A:$A,"&gt;="&amp;S14)</f>
        <v>50</v>
      </c>
      <c r="T15" t="s">
        <v>16</v>
      </c>
    </row>
    <row r="16" spans="1:21" x14ac:dyDescent="0.3">
      <c r="H16" s="109" t="s">
        <v>250</v>
      </c>
      <c r="I16" s="110"/>
      <c r="J16" s="110"/>
      <c r="K16" s="71">
        <f>_xlfn.MINIFS(Подшипники!$A:$A,Подшипники!$A:$A,"&gt;="&amp;K15)</f>
        <v>40</v>
      </c>
      <c r="L16" s="3" t="s">
        <v>16</v>
      </c>
      <c r="P16" s="132" t="s">
        <v>189</v>
      </c>
      <c r="Q16" s="132"/>
      <c r="R16" s="132"/>
      <c r="S16">
        <f ca="1">_xlfn.MINIFS($29:$29,$26:$26,"&gt;="&amp;S12)</f>
        <v>2.2999999999999998</v>
      </c>
      <c r="T16" t="s">
        <v>16</v>
      </c>
    </row>
    <row r="17" spans="1:20" x14ac:dyDescent="0.3">
      <c r="H17" s="109" t="s">
        <v>189</v>
      </c>
      <c r="I17" s="110"/>
      <c r="J17" s="110"/>
      <c r="K17" s="1">
        <f>_xlfn.MINIFS($29:$29,$26:$26,"&gt;="&amp;K13)</f>
        <v>2</v>
      </c>
      <c r="L17" s="3" t="s">
        <v>16</v>
      </c>
      <c r="P17" s="132" t="s">
        <v>186</v>
      </c>
      <c r="Q17" s="132"/>
      <c r="R17" s="132"/>
      <c r="S17">
        <f ca="1">S15+2*S16</f>
        <v>54.6</v>
      </c>
      <c r="T17" t="s">
        <v>16</v>
      </c>
    </row>
    <row r="18" spans="1:20" x14ac:dyDescent="0.3">
      <c r="H18" s="119" t="s">
        <v>182</v>
      </c>
      <c r="I18" s="120"/>
      <c r="J18" s="120"/>
      <c r="K18" s="100">
        <f>K16+2*K17</f>
        <v>44</v>
      </c>
      <c r="L18" s="5" t="s">
        <v>16</v>
      </c>
      <c r="P18" s="132" t="s">
        <v>253</v>
      </c>
      <c r="Q18" s="132"/>
      <c r="R18" s="132"/>
      <c r="S18" s="65">
        <f ca="1">ROUNDUP(S17,0)</f>
        <v>55</v>
      </c>
      <c r="T18" t="s">
        <v>16</v>
      </c>
    </row>
    <row r="19" spans="1:20" x14ac:dyDescent="0.3">
      <c r="H19" s="107" t="s">
        <v>429</v>
      </c>
      <c r="I19" s="108"/>
      <c r="J19" s="108"/>
      <c r="K19" s="8">
        <v>2</v>
      </c>
      <c r="L19" s="6"/>
      <c r="P19" s="107" t="s">
        <v>429</v>
      </c>
      <c r="Q19" s="108"/>
      <c r="R19" s="108"/>
      <c r="S19" s="8">
        <v>2</v>
      </c>
      <c r="T19" s="6"/>
    </row>
    <row r="20" spans="1:20" x14ac:dyDescent="0.3">
      <c r="H20" s="109" t="s">
        <v>247</v>
      </c>
      <c r="I20" s="110"/>
      <c r="J20" s="110"/>
      <c r="K20" s="1">
        <f>K16/5+K19*100</f>
        <v>208</v>
      </c>
      <c r="L20" s="3"/>
      <c r="P20" s="109" t="s">
        <v>247</v>
      </c>
      <c r="Q20" s="110"/>
      <c r="R20" s="110"/>
      <c r="S20" s="1">
        <f ca="1">S15/5+S19*100</f>
        <v>210</v>
      </c>
      <c r="T20" s="3"/>
    </row>
    <row r="21" spans="1:20" x14ac:dyDescent="0.3">
      <c r="H21" s="109" t="s">
        <v>333</v>
      </c>
      <c r="I21" s="110"/>
      <c r="J21" s="110"/>
      <c r="K21" s="1" cm="1">
        <f t="array" ref="K21">INDEX(Подшипники!$E$12:$S$24,MATCH(MOD(Вал!K20,100),Подшипники!$B$12:$B$24,0),MATCH(K19*100,Подшипники!$E$10:$S$10,0)+1)</f>
        <v>80</v>
      </c>
      <c r="L21" s="3" t="s">
        <v>16</v>
      </c>
      <c r="P21" s="109" t="s">
        <v>333</v>
      </c>
      <c r="Q21" s="110"/>
      <c r="R21" s="110"/>
      <c r="S21" s="1" cm="1">
        <f t="array" aca="1" ref="S21" ca="1">INDEX(Подшипники!$E$12:$S$24,MATCH(MOD(Вал!S20,100),Подшипники!$B$12:$B$24,0),MATCH(S19*100,Подшипники!$E$10:$S$10,0)+1)</f>
        <v>90</v>
      </c>
      <c r="T21" s="3" t="s">
        <v>16</v>
      </c>
    </row>
    <row r="22" spans="1:20" x14ac:dyDescent="0.3">
      <c r="H22" s="109" t="s">
        <v>158</v>
      </c>
      <c r="I22" s="110"/>
      <c r="J22" s="110"/>
      <c r="K22" s="1" cm="1">
        <f t="array" ref="K22">INDEX(Подшипники!$E$12:$S$24,MATCH(MOD(Вал!K20,100),Подшипники!$B$12:$B$24,0),MATCH(K19*100,Подшипники!$E$10:$S$10,0)+2)</f>
        <v>18</v>
      </c>
      <c r="L22" s="3" t="s">
        <v>16</v>
      </c>
      <c r="P22" s="109" t="s">
        <v>158</v>
      </c>
      <c r="Q22" s="110"/>
      <c r="R22" s="110"/>
      <c r="S22" s="1" cm="1">
        <f t="array" aca="1" ref="S22" ca="1">INDEX(Подшипники!$E$12:$S$24,MATCH(MOD(Вал!S20,100),Подшипники!$B$12:$B$24,0),MATCH(S19*100,Подшипники!$E$10:$S$10,0)+2)</f>
        <v>20</v>
      </c>
      <c r="T22" s="3" t="s">
        <v>16</v>
      </c>
    </row>
    <row r="23" spans="1:20" x14ac:dyDescent="0.3">
      <c r="H23" s="109" t="s">
        <v>427</v>
      </c>
      <c r="I23" s="110"/>
      <c r="J23" s="110"/>
      <c r="K23" s="1" cm="1">
        <f t="array" ref="K23">INDEX(Подшипники!$E$12:$S$24,MATCH(MOD(Вал!K20,100),Подшипники!$B$12:$B$24,0),MATCH(K19*100,Подшипники!$E$10:$S$10,0)+3)</f>
        <v>32</v>
      </c>
      <c r="L23" s="3" t="s">
        <v>4</v>
      </c>
      <c r="P23" s="109" t="s">
        <v>427</v>
      </c>
      <c r="Q23" s="110"/>
      <c r="R23" s="110"/>
      <c r="S23" s="1" cm="1">
        <f t="array" aca="1" ref="S23" ca="1">INDEX(Подшипники!$E$12:$S$24,MATCH(MOD(Вал!S20,100),Подшипники!$B$12:$B$24,0),MATCH(S19*100,Подшипники!$E$10:$S$10,0)+3)</f>
        <v>35.1</v>
      </c>
      <c r="T23" s="3" t="s">
        <v>4</v>
      </c>
    </row>
    <row r="24" spans="1:20" x14ac:dyDescent="0.3">
      <c r="H24" s="119" t="s">
        <v>428</v>
      </c>
      <c r="I24" s="120"/>
      <c r="J24" s="120"/>
      <c r="K24" s="4" cm="1">
        <f t="array" ref="K24">INDEX(Подшипники!$E$12:$S$24,MATCH(MOD(Вал!K20,100),Подшипники!$B$12:$B$24,0),MATCH(K19*100,Подшипники!$E$10:$S$10,0)+4)</f>
        <v>17.8</v>
      </c>
      <c r="L24" s="5" t="s">
        <v>4</v>
      </c>
      <c r="P24" s="119" t="s">
        <v>428</v>
      </c>
      <c r="Q24" s="120"/>
      <c r="R24" s="120"/>
      <c r="S24" s="4" cm="1">
        <f t="array" aca="1" ref="S24" ca="1">INDEX(Подшипники!$E$12:$S$24,MATCH(MOD(Вал!S20,100),Подшипники!$B$12:$B$24,0),MATCH(S19*100,Подшипники!$E$10:$S$10,0)+4)</f>
        <v>19.8</v>
      </c>
      <c r="T24" s="5" t="s">
        <v>4</v>
      </c>
    </row>
    <row r="26" spans="1:20" x14ac:dyDescent="0.3">
      <c r="A26" s="132" t="s">
        <v>174</v>
      </c>
      <c r="B26" s="132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32" t="s">
        <v>175</v>
      </c>
      <c r="B27" s="132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32" t="s">
        <v>172</v>
      </c>
      <c r="B28" s="132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32" t="s">
        <v>173</v>
      </c>
      <c r="B29" s="132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55"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  <mergeCell ref="P23:R23"/>
    <mergeCell ref="P24:R24"/>
    <mergeCell ref="H17:J17"/>
    <mergeCell ref="H16:J16"/>
    <mergeCell ref="H15:J15"/>
    <mergeCell ref="H21:J21"/>
    <mergeCell ref="H20:J20"/>
    <mergeCell ref="P20:R20"/>
    <mergeCell ref="P21:R21"/>
    <mergeCell ref="P22:R22"/>
    <mergeCell ref="P19:R19"/>
    <mergeCell ref="A26:B26"/>
    <mergeCell ref="A28:B28"/>
    <mergeCell ref="A29:B29"/>
    <mergeCell ref="A27:B27"/>
    <mergeCell ref="H18:J18"/>
    <mergeCell ref="H23:J23"/>
    <mergeCell ref="H24:J24"/>
    <mergeCell ref="H19:J19"/>
    <mergeCell ref="H22:J22"/>
    <mergeCell ref="H12:J12"/>
    <mergeCell ref="H14:J14"/>
    <mergeCell ref="A7:C7"/>
    <mergeCell ref="H7:J7"/>
    <mergeCell ref="A8:C8"/>
    <mergeCell ref="H10:J10"/>
    <mergeCell ref="H8:J8"/>
    <mergeCell ref="H9:L9"/>
    <mergeCell ref="H11:J11"/>
    <mergeCell ref="H13:J13"/>
    <mergeCell ref="A14:C14"/>
    <mergeCell ref="P14:R14"/>
    <mergeCell ref="P17:R17"/>
    <mergeCell ref="P18:R18"/>
    <mergeCell ref="P9:T9"/>
    <mergeCell ref="P6:R6"/>
    <mergeCell ref="P7:R7"/>
    <mergeCell ref="P8:R8"/>
    <mergeCell ref="P16:R16"/>
    <mergeCell ref="P15:R15"/>
    <mergeCell ref="P12:R12"/>
    <mergeCell ref="P13:R13"/>
    <mergeCell ref="P10:R10"/>
    <mergeCell ref="P11:R11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workbookViewId="0">
      <selection activeCell="G25" sqref="G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332</v>
      </c>
    </row>
    <row r="4" spans="2:10" x14ac:dyDescent="0.3">
      <c r="E4" t="s">
        <v>323</v>
      </c>
    </row>
    <row r="8" spans="2:10" x14ac:dyDescent="0.3">
      <c r="B8" s="148" t="s">
        <v>330</v>
      </c>
      <c r="C8" s="48"/>
      <c r="D8" t="s">
        <v>327</v>
      </c>
      <c r="E8">
        <v>5</v>
      </c>
      <c r="F8">
        <v>5</v>
      </c>
    </row>
    <row r="9" spans="2:10" x14ac:dyDescent="0.3">
      <c r="B9" s="148"/>
      <c r="C9" s="48"/>
      <c r="D9" t="s">
        <v>328</v>
      </c>
      <c r="E9">
        <v>0.5</v>
      </c>
      <c r="F9">
        <v>0.5</v>
      </c>
    </row>
    <row r="10" spans="2:10" x14ac:dyDescent="0.3">
      <c r="B10" s="148"/>
      <c r="C10" s="48"/>
      <c r="D10" t="s">
        <v>209</v>
      </c>
      <c r="E10">
        <v>1.6</v>
      </c>
      <c r="F10">
        <v>1.6</v>
      </c>
    </row>
    <row r="11" spans="2:10" x14ac:dyDescent="0.3">
      <c r="B11" s="148"/>
      <c r="C11" s="48"/>
      <c r="D11" t="s">
        <v>329</v>
      </c>
      <c r="E11">
        <v>0.5</v>
      </c>
      <c r="F11">
        <v>0.5</v>
      </c>
    </row>
    <row r="12" spans="2:10" x14ac:dyDescent="0.3">
      <c r="D12" t="s">
        <v>324</v>
      </c>
      <c r="E12">
        <v>6</v>
      </c>
      <c r="F12">
        <v>6</v>
      </c>
    </row>
    <row r="13" spans="2:10" x14ac:dyDescent="0.3">
      <c r="D13" t="s">
        <v>325</v>
      </c>
      <c r="E13" s="93">
        <f>E12*0.91666</f>
        <v>5.4999599999999997</v>
      </c>
      <c r="F13" s="93">
        <f>F12*0.91666</f>
        <v>5.4999599999999997</v>
      </c>
    </row>
    <row r="14" spans="2:10" x14ac:dyDescent="0.3">
      <c r="D14" t="s">
        <v>282</v>
      </c>
      <c r="E14">
        <f>E21/2</f>
        <v>3</v>
      </c>
      <c r="F14">
        <f>I21/2</f>
        <v>3</v>
      </c>
    </row>
    <row r="16" spans="2:10" x14ac:dyDescent="0.3">
      <c r="C16" s="132" t="s">
        <v>350</v>
      </c>
      <c r="D16" s="132"/>
      <c r="E16" s="132"/>
      <c r="F16" s="132"/>
      <c r="G16" s="132" t="s">
        <v>349</v>
      </c>
      <c r="H16" s="132"/>
      <c r="I16" s="132"/>
      <c r="J16" s="132"/>
    </row>
    <row r="17" spans="1:10" x14ac:dyDescent="0.3">
      <c r="C17" t="s">
        <v>285</v>
      </c>
      <c r="D17" t="s">
        <v>338</v>
      </c>
      <c r="E17" t="s">
        <v>326</v>
      </c>
      <c r="F17" t="s">
        <v>338</v>
      </c>
      <c r="G17" t="s">
        <v>285</v>
      </c>
      <c r="H17" t="s">
        <v>338</v>
      </c>
      <c r="I17" t="s">
        <v>326</v>
      </c>
      <c r="J17" t="s">
        <v>338</v>
      </c>
    </row>
    <row r="18" spans="1:10" x14ac:dyDescent="0.3">
      <c r="A18" s="132" t="s">
        <v>337</v>
      </c>
      <c r="B18" s="132"/>
      <c r="C18">
        <f>Вал!$K$21</f>
        <v>80</v>
      </c>
      <c r="G18">
        <f ca="1">Вал!S21</f>
        <v>90</v>
      </c>
    </row>
    <row r="19" spans="1:10" x14ac:dyDescent="0.3">
      <c r="A19" s="107" t="s">
        <v>334</v>
      </c>
      <c r="B19" s="108"/>
      <c r="C19" s="11">
        <f>C18</f>
        <v>80</v>
      </c>
      <c r="D19" s="8"/>
      <c r="E19" s="91">
        <v>5</v>
      </c>
      <c r="F19" s="6"/>
      <c r="G19" s="11">
        <f ca="1">G18</f>
        <v>90</v>
      </c>
      <c r="H19" s="8"/>
      <c r="I19" s="95">
        <v>5</v>
      </c>
      <c r="J19" s="6"/>
    </row>
    <row r="20" spans="1:10" x14ac:dyDescent="0.3">
      <c r="A20" s="109" t="s">
        <v>330</v>
      </c>
      <c r="B20" s="110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19" t="s">
        <v>336</v>
      </c>
      <c r="B21" s="120"/>
      <c r="C21" s="12">
        <f>C18+E14*2</f>
        <v>86</v>
      </c>
      <c r="D21" s="4"/>
      <c r="E21" s="4">
        <f>E12*1</f>
        <v>6</v>
      </c>
      <c r="F21" s="5" t="s">
        <v>352</v>
      </c>
      <c r="G21" s="12">
        <f ca="1">G18+2*F14</f>
        <v>96</v>
      </c>
      <c r="H21" s="4"/>
      <c r="I21" s="4">
        <f>F12</f>
        <v>6</v>
      </c>
      <c r="J21" s="5" t="s">
        <v>352</v>
      </c>
    </row>
    <row r="22" spans="1:10" x14ac:dyDescent="0.3">
      <c r="A22" s="107" t="s">
        <v>335</v>
      </c>
      <c r="B22" s="108"/>
      <c r="C22" s="94">
        <f>C18-E13*2</f>
        <v>69.000079999999997</v>
      </c>
      <c r="D22" s="8"/>
      <c r="E22" s="8">
        <f>E19+E20+E21-E23</f>
        <v>10</v>
      </c>
      <c r="F22" s="6"/>
      <c r="G22" s="94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19" t="s">
        <v>339</v>
      </c>
      <c r="B23" s="120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32" t="s">
        <v>347</v>
      </c>
      <c r="B25" s="132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32" t="s">
        <v>346</v>
      </c>
      <c r="B27" s="132"/>
      <c r="C27" t="s">
        <v>331</v>
      </c>
      <c r="D27" t="s">
        <v>16</v>
      </c>
    </row>
    <row r="30" spans="1:10" x14ac:dyDescent="0.3">
      <c r="C30" t="s">
        <v>322</v>
      </c>
    </row>
  </sheetData>
  <mergeCells count="11">
    <mergeCell ref="B8:B11"/>
    <mergeCell ref="A19:B19"/>
    <mergeCell ref="A20:B20"/>
    <mergeCell ref="A21:B21"/>
    <mergeCell ref="A22:B22"/>
    <mergeCell ref="A18:B18"/>
    <mergeCell ref="G16:J16"/>
    <mergeCell ref="C16:F16"/>
    <mergeCell ref="A27:B27"/>
    <mergeCell ref="A25:B25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zoomScaleNormal="100" workbookViewId="0">
      <selection activeCell="R27" sqref="R27"/>
    </sheetView>
  </sheetViews>
  <sheetFormatPr defaultRowHeight="14.4" x14ac:dyDescent="0.3"/>
  <cols>
    <col min="1" max="30" width="6.77734375" customWidth="1"/>
  </cols>
  <sheetData>
    <row r="1" spans="1:26" x14ac:dyDescent="0.3">
      <c r="A1" s="110" t="s">
        <v>130</v>
      </c>
      <c r="B1" s="110"/>
      <c r="C1" s="110"/>
      <c r="D1" s="110"/>
      <c r="E1" s="110"/>
      <c r="F1" s="110"/>
    </row>
    <row r="2" spans="1:26" x14ac:dyDescent="0.3">
      <c r="A2" s="109" t="s">
        <v>108</v>
      </c>
      <c r="B2" s="110"/>
      <c r="C2" s="110"/>
      <c r="D2" s="110"/>
      <c r="E2" s="110" t="str">
        <f>Электродвигатель!F48</f>
        <v>Цилиндрическая 1</v>
      </c>
      <c r="F2" s="112"/>
      <c r="K2" s="107" t="s">
        <v>143</v>
      </c>
      <c r="L2" s="108"/>
      <c r="M2" s="108"/>
      <c r="N2" s="108"/>
      <c r="O2" s="108"/>
      <c r="P2" s="108"/>
      <c r="Q2" s="108"/>
      <c r="R2" s="1"/>
    </row>
    <row r="3" spans="1:26" x14ac:dyDescent="0.3">
      <c r="A3" s="109" t="s">
        <v>41</v>
      </c>
      <c r="B3" s="110"/>
      <c r="C3" s="110"/>
      <c r="D3" s="110"/>
      <c r="E3" s="55">
        <f>Электродвигатель!$F$49</f>
        <v>7.5398223686155026</v>
      </c>
      <c r="F3" s="50"/>
      <c r="K3" s="7" t="s">
        <v>146</v>
      </c>
      <c r="L3" s="16" t="s">
        <v>140</v>
      </c>
      <c r="M3" s="1" t="s">
        <v>141</v>
      </c>
      <c r="N3" s="1" t="s">
        <v>138</v>
      </c>
      <c r="O3" s="1" t="s">
        <v>144</v>
      </c>
      <c r="P3" s="1" t="s">
        <v>145</v>
      </c>
      <c r="Q3" s="1" t="s">
        <v>142</v>
      </c>
      <c r="R3" s="25" t="s">
        <v>164</v>
      </c>
    </row>
    <row r="4" spans="1:26" x14ac:dyDescent="0.3">
      <c r="A4" s="109" t="s">
        <v>42</v>
      </c>
      <c r="B4" s="110"/>
      <c r="C4" s="110"/>
      <c r="D4" s="110"/>
      <c r="E4" s="55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109" t="s">
        <v>97</v>
      </c>
      <c r="B5" s="110"/>
      <c r="C5" s="110"/>
      <c r="D5" s="110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109" t="s">
        <v>102</v>
      </c>
      <c r="B6" s="110"/>
      <c r="C6" s="110"/>
      <c r="D6" s="110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32" t="s">
        <v>137</v>
      </c>
      <c r="B7" s="132"/>
      <c r="C7" s="132"/>
      <c r="D7" s="132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32" t="s">
        <v>131</v>
      </c>
      <c r="B8" s="132"/>
      <c r="C8" s="132"/>
      <c r="D8" s="132"/>
      <c r="E8" s="132"/>
      <c r="F8" s="132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32" t="s">
        <v>136</v>
      </c>
      <c r="B9" s="132"/>
      <c r="C9" s="132"/>
      <c r="D9" s="132"/>
      <c r="E9">
        <f>Электродвигатель!$E$15</f>
        <v>300</v>
      </c>
      <c r="F9" t="s">
        <v>22</v>
      </c>
      <c r="K9" s="70">
        <v>6</v>
      </c>
      <c r="L9" s="71">
        <v>49</v>
      </c>
      <c r="M9" s="71">
        <v>28.5</v>
      </c>
      <c r="N9" s="71">
        <v>0.15</v>
      </c>
      <c r="O9" s="71">
        <v>240</v>
      </c>
      <c r="P9" s="71">
        <v>49.35</v>
      </c>
      <c r="Q9" s="72">
        <v>69.400000000000006</v>
      </c>
      <c r="R9" s="1">
        <f t="shared" si="0"/>
        <v>1</v>
      </c>
      <c r="S9" s="53"/>
    </row>
    <row r="10" spans="1:26" x14ac:dyDescent="0.3">
      <c r="A10" s="109" t="s">
        <v>8</v>
      </c>
      <c r="B10" s="110"/>
      <c r="C10" s="110"/>
      <c r="D10" s="110"/>
      <c r="E10" s="16">
        <f>Электродвигатель!$E$7</f>
        <v>3</v>
      </c>
      <c r="F10" s="50" t="s">
        <v>127</v>
      </c>
      <c r="K10" s="57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1</v>
      </c>
      <c r="S10" s="53"/>
    </row>
    <row r="11" spans="1:26" x14ac:dyDescent="0.3">
      <c r="A11" s="109" t="s">
        <v>200</v>
      </c>
      <c r="B11" s="110"/>
      <c r="C11" s="110"/>
      <c r="D11" s="110"/>
      <c r="E11" s="47" t="s">
        <v>100</v>
      </c>
      <c r="F11" s="3" t="s">
        <v>124</v>
      </c>
      <c r="K11" s="57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1</v>
      </c>
      <c r="S11" s="53"/>
    </row>
    <row r="12" spans="1:26" x14ac:dyDescent="0.3">
      <c r="A12" s="109" t="s">
        <v>122</v>
      </c>
      <c r="B12" s="110"/>
      <c r="C12" s="110"/>
      <c r="D12" s="110"/>
      <c r="E12" s="54" t="s">
        <v>100</v>
      </c>
      <c r="F12" s="5" t="s">
        <v>123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1</v>
      </c>
      <c r="S12" s="53"/>
    </row>
    <row r="13" spans="1:26" x14ac:dyDescent="0.3">
      <c r="A13" s="132" t="s">
        <v>132</v>
      </c>
      <c r="B13" s="132"/>
      <c r="C13" s="132"/>
      <c r="D13" s="132"/>
      <c r="E13" s="132"/>
      <c r="F13" s="132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1</v>
      </c>
      <c r="S13" s="53"/>
    </row>
    <row r="14" spans="1:26" x14ac:dyDescent="0.3">
      <c r="A14" s="132" t="s">
        <v>135</v>
      </c>
      <c r="B14" s="132"/>
      <c r="C14" s="132"/>
      <c r="D14" s="132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1</v>
      </c>
      <c r="S14" s="53"/>
    </row>
    <row r="15" spans="1:26" x14ac:dyDescent="0.3">
      <c r="A15" s="110" t="s">
        <v>133</v>
      </c>
      <c r="B15" s="110"/>
      <c r="C15" s="110"/>
      <c r="D15" s="110"/>
      <c r="E15">
        <f>Вал!$K$22</f>
        <v>18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6">
        <v>26.25</v>
      </c>
      <c r="Q15" s="56">
        <v>38.1</v>
      </c>
      <c r="R15" s="1">
        <f t="shared" si="0"/>
        <v>1</v>
      </c>
    </row>
    <row r="16" spans="1:26" x14ac:dyDescent="0.3">
      <c r="A16" s="110" t="s">
        <v>134</v>
      </c>
      <c r="B16" s="110"/>
      <c r="C16" s="110"/>
      <c r="D16" s="110"/>
      <c r="E16">
        <f ca="1">Вал!$S$18</f>
        <v>55</v>
      </c>
      <c r="F16" t="s">
        <v>16</v>
      </c>
      <c r="Z16" s="58"/>
    </row>
    <row r="18" spans="2:26" x14ac:dyDescent="0.3">
      <c r="G18" s="161" t="s">
        <v>146</v>
      </c>
      <c r="H18" s="162"/>
      <c r="I18" s="162"/>
      <c r="J18" s="162"/>
      <c r="K18" s="80">
        <v>6</v>
      </c>
      <c r="L18" s="82"/>
      <c r="M18" s="75"/>
      <c r="N18" s="161" t="s">
        <v>146</v>
      </c>
      <c r="O18" s="162"/>
      <c r="P18" s="162"/>
      <c r="Q18" s="162"/>
      <c r="R18" s="80">
        <v>7</v>
      </c>
      <c r="S18" s="82"/>
      <c r="T18" s="75"/>
      <c r="U18" s="161" t="s">
        <v>146</v>
      </c>
      <c r="V18" s="162"/>
      <c r="W18" s="162"/>
      <c r="X18" s="162"/>
      <c r="Y18" s="80">
        <v>8</v>
      </c>
      <c r="Z18" s="82"/>
    </row>
    <row r="19" spans="2:26" x14ac:dyDescent="0.3">
      <c r="G19" s="152" t="s">
        <v>142</v>
      </c>
      <c r="H19" s="153"/>
      <c r="I19" s="153"/>
      <c r="J19" s="153"/>
      <c r="K19" s="76">
        <v>69</v>
      </c>
      <c r="L19" s="74" t="s">
        <v>149</v>
      </c>
      <c r="M19" s="75"/>
      <c r="N19" s="152" t="s">
        <v>142</v>
      </c>
      <c r="O19" s="153"/>
      <c r="P19" s="153"/>
      <c r="Q19" s="153"/>
      <c r="R19" s="76">
        <v>57</v>
      </c>
      <c r="S19" s="74" t="s">
        <v>149</v>
      </c>
      <c r="T19" s="75"/>
      <c r="U19" s="152" t="s">
        <v>142</v>
      </c>
      <c r="V19" s="153"/>
      <c r="W19" s="153"/>
      <c r="X19" s="153"/>
      <c r="Y19" s="76">
        <v>64</v>
      </c>
      <c r="Z19" s="74" t="s">
        <v>149</v>
      </c>
    </row>
    <row r="20" spans="2:26" x14ac:dyDescent="0.3">
      <c r="G20" s="152" t="s">
        <v>147</v>
      </c>
      <c r="H20" s="153"/>
      <c r="I20" s="153"/>
      <c r="J20" s="153"/>
      <c r="K20" s="73">
        <v>22.3</v>
      </c>
      <c r="L20" s="74" t="s">
        <v>149</v>
      </c>
      <c r="M20" s="75"/>
      <c r="N20" s="152" t="s">
        <v>147</v>
      </c>
      <c r="O20" s="153"/>
      <c r="P20" s="153"/>
      <c r="Q20" s="153"/>
      <c r="R20" s="73">
        <v>20</v>
      </c>
      <c r="S20" s="74" t="s">
        <v>149</v>
      </c>
      <c r="T20" s="75"/>
      <c r="U20" s="152" t="s">
        <v>147</v>
      </c>
      <c r="V20" s="153"/>
      <c r="W20" s="153"/>
      <c r="X20" s="153"/>
      <c r="Y20" s="73">
        <v>25.3</v>
      </c>
      <c r="Z20" s="74" t="s">
        <v>149</v>
      </c>
    </row>
    <row r="21" spans="2:26" x14ac:dyDescent="0.3">
      <c r="G21" s="152" t="s">
        <v>139</v>
      </c>
      <c r="H21" s="153"/>
      <c r="I21" s="153"/>
      <c r="J21" s="153"/>
      <c r="K21" s="73">
        <v>240</v>
      </c>
      <c r="L21" s="74" t="s">
        <v>16</v>
      </c>
      <c r="M21" s="75"/>
      <c r="N21" s="152" t="s">
        <v>139</v>
      </c>
      <c r="O21" s="153"/>
      <c r="P21" s="153"/>
      <c r="Q21" s="153"/>
      <c r="R21" s="73">
        <v>180</v>
      </c>
      <c r="S21" s="74" t="s">
        <v>16</v>
      </c>
      <c r="T21" s="75"/>
      <c r="U21" s="152" t="s">
        <v>139</v>
      </c>
      <c r="V21" s="153"/>
      <c r="W21" s="153"/>
      <c r="X21" s="153"/>
      <c r="Y21" s="73">
        <v>180</v>
      </c>
      <c r="Z21" s="74" t="s">
        <v>16</v>
      </c>
    </row>
    <row r="22" spans="2:26" x14ac:dyDescent="0.3">
      <c r="G22" s="152" t="s">
        <v>148</v>
      </c>
      <c r="H22" s="153"/>
      <c r="I22" s="153"/>
      <c r="J22" s="153"/>
      <c r="K22" s="73">
        <v>3.5</v>
      </c>
      <c r="L22" s="74" t="s">
        <v>16</v>
      </c>
      <c r="M22" s="75"/>
      <c r="N22" s="152" t="s">
        <v>148</v>
      </c>
      <c r="O22" s="153"/>
      <c r="P22" s="153"/>
      <c r="Q22" s="153"/>
      <c r="R22" s="73">
        <v>2.5</v>
      </c>
      <c r="S22" s="74" t="s">
        <v>16</v>
      </c>
      <c r="T22" s="75"/>
      <c r="U22" s="152" t="s">
        <v>148</v>
      </c>
      <c r="V22" s="153"/>
      <c r="W22" s="153"/>
      <c r="X22" s="153"/>
      <c r="Y22" s="73">
        <v>3</v>
      </c>
      <c r="Z22" s="74" t="s">
        <v>16</v>
      </c>
    </row>
    <row r="23" spans="2:26" x14ac:dyDescent="0.3">
      <c r="G23" s="152" t="s">
        <v>0</v>
      </c>
      <c r="H23" s="153"/>
      <c r="I23" s="153"/>
      <c r="J23" s="153"/>
      <c r="K23" s="73">
        <v>1510</v>
      </c>
      <c r="L23" s="74" t="s">
        <v>152</v>
      </c>
      <c r="M23" s="75"/>
      <c r="N23" s="152" t="s">
        <v>0</v>
      </c>
      <c r="O23" s="153"/>
      <c r="P23" s="153"/>
      <c r="Q23" s="153"/>
      <c r="R23" s="73">
        <v>2016</v>
      </c>
      <c r="S23" s="74" t="s">
        <v>152</v>
      </c>
      <c r="T23" s="75"/>
      <c r="U23" s="152" t="s">
        <v>0</v>
      </c>
      <c r="V23" s="153"/>
      <c r="W23" s="153"/>
      <c r="X23" s="153"/>
      <c r="Y23" s="73">
        <v>2013</v>
      </c>
      <c r="Z23" s="74" t="s">
        <v>152</v>
      </c>
    </row>
    <row r="24" spans="2:26" x14ac:dyDescent="0.3">
      <c r="G24" s="152" t="s">
        <v>150</v>
      </c>
      <c r="H24" s="153"/>
      <c r="I24" s="153"/>
      <c r="J24" s="153"/>
      <c r="K24" s="73">
        <v>554</v>
      </c>
      <c r="L24" s="74" t="s">
        <v>152</v>
      </c>
      <c r="M24" s="75"/>
      <c r="N24" s="152" t="s">
        <v>150</v>
      </c>
      <c r="O24" s="153"/>
      <c r="P24" s="153"/>
      <c r="Q24" s="153"/>
      <c r="R24" s="73">
        <v>734</v>
      </c>
      <c r="S24" s="74" t="s">
        <v>152</v>
      </c>
      <c r="T24" s="75"/>
      <c r="U24" s="152" t="s">
        <v>150</v>
      </c>
      <c r="V24" s="153"/>
      <c r="W24" s="153"/>
      <c r="X24" s="153"/>
      <c r="Y24" s="73">
        <v>733</v>
      </c>
      <c r="Z24" s="74" t="s">
        <v>152</v>
      </c>
    </row>
    <row r="25" spans="2:26" x14ac:dyDescent="0.3">
      <c r="G25" s="154" t="s">
        <v>151</v>
      </c>
      <c r="H25" s="155"/>
      <c r="I25" s="155"/>
      <c r="J25" s="155"/>
      <c r="K25" s="78">
        <v>0</v>
      </c>
      <c r="L25" s="79" t="s">
        <v>152</v>
      </c>
      <c r="M25" s="75"/>
      <c r="N25" s="154" t="s">
        <v>151</v>
      </c>
      <c r="O25" s="155"/>
      <c r="P25" s="155"/>
      <c r="Q25" s="155"/>
      <c r="R25" s="78">
        <v>0</v>
      </c>
      <c r="S25" s="79" t="s">
        <v>152</v>
      </c>
      <c r="T25" s="75"/>
      <c r="U25" s="154" t="s">
        <v>151</v>
      </c>
      <c r="V25" s="155"/>
      <c r="W25" s="155"/>
      <c r="X25" s="155"/>
      <c r="Y25" s="78">
        <v>0</v>
      </c>
      <c r="Z25" s="79" t="s">
        <v>152</v>
      </c>
    </row>
    <row r="26" spans="2:26" x14ac:dyDescent="0.3">
      <c r="G26" s="149" t="s">
        <v>154</v>
      </c>
      <c r="H26" s="150"/>
      <c r="I26" s="150"/>
      <c r="J26" s="150"/>
      <c r="K26" s="150"/>
      <c r="L26" s="151"/>
      <c r="M26" s="75"/>
      <c r="N26" s="149" t="s">
        <v>154</v>
      </c>
      <c r="O26" s="150"/>
      <c r="P26" s="150"/>
      <c r="Q26" s="150"/>
      <c r="R26" s="150"/>
      <c r="S26" s="151"/>
      <c r="T26" s="75"/>
      <c r="U26" s="149" t="s">
        <v>154</v>
      </c>
      <c r="V26" s="150"/>
      <c r="W26" s="150"/>
      <c r="X26" s="150"/>
      <c r="Y26" s="150"/>
      <c r="Z26" s="151"/>
    </row>
    <row r="27" spans="2:26" x14ac:dyDescent="0.3">
      <c r="G27" s="152" t="s">
        <v>155</v>
      </c>
      <c r="H27" s="153"/>
      <c r="I27" s="153"/>
      <c r="J27" s="153"/>
      <c r="K27" s="85">
        <v>16</v>
      </c>
      <c r="L27" s="74"/>
      <c r="M27" s="75"/>
      <c r="N27" s="152" t="s">
        <v>155</v>
      </c>
      <c r="O27" s="153"/>
      <c r="P27" s="153"/>
      <c r="Q27" s="153"/>
      <c r="R27" s="85">
        <v>17</v>
      </c>
      <c r="S27" s="74"/>
      <c r="T27" s="75"/>
      <c r="U27" s="152" t="s">
        <v>155</v>
      </c>
      <c r="V27" s="153"/>
      <c r="W27" s="153"/>
      <c r="X27" s="153"/>
      <c r="Y27" s="85">
        <v>14</v>
      </c>
      <c r="Z27" s="74"/>
    </row>
    <row r="28" spans="2:26" x14ac:dyDescent="0.3">
      <c r="G28" s="156" t="s">
        <v>160</v>
      </c>
      <c r="H28" s="157"/>
      <c r="I28" s="157"/>
      <c r="J28" s="157"/>
      <c r="K28" s="85">
        <v>0.3</v>
      </c>
      <c r="L28" s="77" t="s">
        <v>16</v>
      </c>
      <c r="M28" s="75"/>
      <c r="N28" s="156" t="s">
        <v>160</v>
      </c>
      <c r="O28" s="157"/>
      <c r="P28" s="157"/>
      <c r="Q28" s="157"/>
      <c r="R28" s="85">
        <v>-0.3</v>
      </c>
      <c r="S28" s="77" t="s">
        <v>16</v>
      </c>
      <c r="T28" s="75"/>
      <c r="U28" s="156" t="s">
        <v>160</v>
      </c>
      <c r="V28" s="157"/>
      <c r="W28" s="157"/>
      <c r="X28" s="157"/>
      <c r="Y28" s="85">
        <v>0.3</v>
      </c>
      <c r="Z28" s="77" t="s">
        <v>16</v>
      </c>
    </row>
    <row r="29" spans="2:26" x14ac:dyDescent="0.3">
      <c r="G29" s="156" t="s">
        <v>159</v>
      </c>
      <c r="H29" s="157"/>
      <c r="I29" s="157"/>
      <c r="J29" s="157"/>
      <c r="K29" s="85">
        <v>49</v>
      </c>
      <c r="L29" s="77" t="s">
        <v>251</v>
      </c>
      <c r="M29" s="75"/>
      <c r="N29" s="156" t="s">
        <v>159</v>
      </c>
      <c r="O29" s="157"/>
      <c r="P29" s="157"/>
      <c r="Q29" s="157"/>
      <c r="R29" s="85">
        <v>49</v>
      </c>
      <c r="S29" s="77" t="s">
        <v>251</v>
      </c>
      <c r="T29" s="75"/>
      <c r="U29" s="156" t="s">
        <v>159</v>
      </c>
      <c r="V29" s="157"/>
      <c r="W29" s="157"/>
      <c r="X29" s="157"/>
      <c r="Y29" s="85">
        <v>49</v>
      </c>
      <c r="Z29" s="77" t="s">
        <v>251</v>
      </c>
    </row>
    <row r="30" spans="2:26" x14ac:dyDescent="0.3">
      <c r="G30" s="156" t="s">
        <v>161</v>
      </c>
      <c r="H30" s="157"/>
      <c r="I30" s="157"/>
      <c r="J30" s="157"/>
      <c r="K30" s="85" t="s">
        <v>162</v>
      </c>
      <c r="L30" s="74"/>
      <c r="M30" s="75"/>
      <c r="N30" s="156" t="s">
        <v>161</v>
      </c>
      <c r="O30" s="157"/>
      <c r="P30" s="157"/>
      <c r="Q30" s="157"/>
      <c r="R30" s="85" t="s">
        <v>162</v>
      </c>
      <c r="S30" s="74"/>
      <c r="T30" s="75"/>
      <c r="U30" s="156" t="s">
        <v>161</v>
      </c>
      <c r="V30" s="157"/>
      <c r="W30" s="157"/>
      <c r="X30" s="157"/>
      <c r="Y30" s="85" t="s">
        <v>162</v>
      </c>
      <c r="Z30" s="74"/>
    </row>
    <row r="31" spans="2:26" x14ac:dyDescent="0.3">
      <c r="B31" s="84"/>
      <c r="G31" s="152" t="s">
        <v>204</v>
      </c>
      <c r="H31" s="153"/>
      <c r="I31" s="153"/>
      <c r="J31" s="153"/>
      <c r="K31" s="85">
        <v>56</v>
      </c>
      <c r="L31" s="74" t="s">
        <v>16</v>
      </c>
      <c r="M31" s="75"/>
      <c r="N31" s="152" t="s">
        <v>204</v>
      </c>
      <c r="O31" s="153"/>
      <c r="P31" s="153"/>
      <c r="Q31" s="153"/>
      <c r="R31" s="85">
        <v>42.5</v>
      </c>
      <c r="S31" s="74" t="s">
        <v>16</v>
      </c>
      <c r="T31" s="75"/>
      <c r="U31" s="152" t="s">
        <v>204</v>
      </c>
      <c r="V31" s="153"/>
      <c r="W31" s="153"/>
      <c r="X31" s="153"/>
      <c r="Y31" s="85">
        <v>42</v>
      </c>
      <c r="Z31" s="74" t="s">
        <v>16</v>
      </c>
    </row>
    <row r="32" spans="2:26" x14ac:dyDescent="0.3">
      <c r="G32" s="152" t="s">
        <v>177</v>
      </c>
      <c r="H32" s="153"/>
      <c r="I32" s="153"/>
      <c r="J32" s="153"/>
      <c r="K32" s="85">
        <v>65</v>
      </c>
      <c r="L32" s="74" t="s">
        <v>16</v>
      </c>
      <c r="M32" s="75"/>
      <c r="N32" s="152" t="s">
        <v>177</v>
      </c>
      <c r="O32" s="153"/>
      <c r="P32" s="153"/>
      <c r="Q32" s="153"/>
      <c r="R32" s="85">
        <v>49</v>
      </c>
      <c r="S32" s="74" t="s">
        <v>16</v>
      </c>
      <c r="T32" s="75"/>
      <c r="U32" s="152" t="s">
        <v>177</v>
      </c>
      <c r="V32" s="153"/>
      <c r="W32" s="153"/>
      <c r="X32" s="153"/>
      <c r="Y32" s="85">
        <v>49.8</v>
      </c>
      <c r="Z32" s="74" t="s">
        <v>16</v>
      </c>
    </row>
    <row r="33" spans="1:27" x14ac:dyDescent="0.3">
      <c r="G33" s="152" t="s">
        <v>168</v>
      </c>
      <c r="H33" s="153"/>
      <c r="I33" s="153"/>
      <c r="J33" s="153"/>
      <c r="K33" s="85">
        <v>49.35</v>
      </c>
      <c r="L33" s="74" t="s">
        <v>16</v>
      </c>
      <c r="M33" s="75"/>
      <c r="N33" s="152" t="s">
        <v>168</v>
      </c>
      <c r="O33" s="153"/>
      <c r="P33" s="153"/>
      <c r="Q33" s="153"/>
      <c r="R33" s="85">
        <v>37.75</v>
      </c>
      <c r="S33" s="74" t="s">
        <v>16</v>
      </c>
      <c r="T33" s="75"/>
      <c r="U33" s="152" t="s">
        <v>168</v>
      </c>
      <c r="V33" s="153"/>
      <c r="W33" s="153"/>
      <c r="X33" s="153"/>
      <c r="Y33" s="85">
        <v>36.6</v>
      </c>
      <c r="Z33" s="74" t="s">
        <v>16</v>
      </c>
    </row>
    <row r="34" spans="1:27" x14ac:dyDescent="0.3">
      <c r="G34" s="152" t="s">
        <v>158</v>
      </c>
      <c r="H34" s="153"/>
      <c r="I34" s="153"/>
      <c r="J34" s="153"/>
      <c r="K34" s="85">
        <v>40</v>
      </c>
      <c r="L34" s="74" t="s">
        <v>16</v>
      </c>
      <c r="M34" s="75"/>
      <c r="N34" s="152" t="s">
        <v>158</v>
      </c>
      <c r="O34" s="153"/>
      <c r="P34" s="153"/>
      <c r="Q34" s="153"/>
      <c r="R34" s="85">
        <v>62</v>
      </c>
      <c r="S34" s="74" t="s">
        <v>16</v>
      </c>
      <c r="T34" s="75"/>
      <c r="U34" s="154" t="s">
        <v>158</v>
      </c>
      <c r="V34" s="155"/>
      <c r="W34" s="155"/>
      <c r="X34" s="155"/>
      <c r="Y34" s="85">
        <v>79</v>
      </c>
      <c r="Z34" s="79" t="s">
        <v>16</v>
      </c>
    </row>
    <row r="35" spans="1:27" x14ac:dyDescent="0.3">
      <c r="G35" s="149" t="s">
        <v>121</v>
      </c>
      <c r="H35" s="150"/>
      <c r="I35" s="150"/>
      <c r="J35" s="150"/>
      <c r="K35" s="150"/>
      <c r="L35" s="151"/>
      <c r="M35" s="75"/>
      <c r="N35" s="149" t="s">
        <v>121</v>
      </c>
      <c r="O35" s="150"/>
      <c r="P35" s="150"/>
      <c r="Q35" s="150"/>
      <c r="R35" s="150"/>
      <c r="S35" s="151"/>
      <c r="T35" s="75"/>
      <c r="U35" s="149" t="s">
        <v>121</v>
      </c>
      <c r="V35" s="150"/>
      <c r="W35" s="150"/>
      <c r="X35" s="150"/>
      <c r="Y35" s="150"/>
      <c r="Z35" s="151"/>
    </row>
    <row r="36" spans="1:27" x14ac:dyDescent="0.3">
      <c r="G36" s="152" t="s">
        <v>155</v>
      </c>
      <c r="H36" s="153"/>
      <c r="I36" s="153"/>
      <c r="J36" s="153"/>
      <c r="K36" s="85">
        <v>121</v>
      </c>
      <c r="L36" s="74"/>
      <c r="M36" s="75"/>
      <c r="N36" s="152" t="s">
        <v>155</v>
      </c>
      <c r="O36" s="153"/>
      <c r="P36" s="153"/>
      <c r="Q36" s="153"/>
      <c r="R36" s="85">
        <v>127</v>
      </c>
      <c r="S36" s="74"/>
      <c r="T36" s="75"/>
      <c r="U36" s="152" t="s">
        <v>155</v>
      </c>
      <c r="V36" s="153"/>
      <c r="W36" s="153"/>
      <c r="X36" s="153"/>
      <c r="Y36" s="85">
        <v>106</v>
      </c>
      <c r="Z36" s="74"/>
    </row>
    <row r="37" spans="1:27" x14ac:dyDescent="0.3">
      <c r="G37" s="156" t="s">
        <v>160</v>
      </c>
      <c r="H37" s="157"/>
      <c r="I37" s="157"/>
      <c r="J37" s="157"/>
      <c r="K37" s="85">
        <v>-0.22800000000000001</v>
      </c>
      <c r="L37" s="77" t="s">
        <v>16</v>
      </c>
      <c r="M37" s="86"/>
      <c r="N37" s="156" t="s">
        <v>160</v>
      </c>
      <c r="O37" s="157"/>
      <c r="P37" s="157"/>
      <c r="Q37" s="157"/>
      <c r="R37" s="85">
        <v>0.3</v>
      </c>
      <c r="S37" s="77" t="s">
        <v>16</v>
      </c>
      <c r="T37" s="86"/>
      <c r="U37" s="156" t="s">
        <v>160</v>
      </c>
      <c r="V37" s="157"/>
      <c r="W37" s="157"/>
      <c r="X37" s="157"/>
      <c r="Y37" s="85">
        <v>-0.3</v>
      </c>
      <c r="Z37" s="77" t="s">
        <v>16</v>
      </c>
    </row>
    <row r="38" spans="1:27" x14ac:dyDescent="0.3">
      <c r="G38" s="156" t="s">
        <v>159</v>
      </c>
      <c r="H38" s="157"/>
      <c r="I38" s="157"/>
      <c r="J38" s="157"/>
      <c r="K38" s="85">
        <v>28.5</v>
      </c>
      <c r="L38" s="77" t="s">
        <v>251</v>
      </c>
      <c r="M38" s="75"/>
      <c r="N38" s="156" t="s">
        <v>159</v>
      </c>
      <c r="O38" s="157"/>
      <c r="P38" s="157"/>
      <c r="Q38" s="157"/>
      <c r="R38" s="85">
        <v>28.5</v>
      </c>
      <c r="S38" s="77" t="s">
        <v>251</v>
      </c>
      <c r="T38" s="75" t="s">
        <v>357</v>
      </c>
      <c r="U38" s="156" t="s">
        <v>159</v>
      </c>
      <c r="V38" s="157"/>
      <c r="W38" s="157"/>
      <c r="X38" s="157"/>
      <c r="Y38" s="85">
        <v>28.5</v>
      </c>
      <c r="Z38" s="77" t="s">
        <v>251</v>
      </c>
    </row>
    <row r="39" spans="1:27" x14ac:dyDescent="0.3">
      <c r="G39" s="156" t="s">
        <v>161</v>
      </c>
      <c r="H39" s="157"/>
      <c r="I39" s="157"/>
      <c r="J39" s="157"/>
      <c r="K39" s="85" t="s">
        <v>163</v>
      </c>
      <c r="L39" s="74"/>
      <c r="M39" s="75"/>
      <c r="N39" s="156" t="s">
        <v>161</v>
      </c>
      <c r="O39" s="157"/>
      <c r="P39" s="157"/>
      <c r="Q39" s="157"/>
      <c r="R39" s="85" t="s">
        <v>163</v>
      </c>
      <c r="S39" s="74"/>
      <c r="T39" s="75"/>
      <c r="U39" s="156" t="s">
        <v>161</v>
      </c>
      <c r="V39" s="157"/>
      <c r="W39" s="157"/>
      <c r="X39" s="157"/>
      <c r="Y39" s="85" t="s">
        <v>163</v>
      </c>
      <c r="Z39" s="74"/>
      <c r="AA39" s="84"/>
    </row>
    <row r="40" spans="1:27" x14ac:dyDescent="0.3">
      <c r="G40" s="152" t="s">
        <v>204</v>
      </c>
      <c r="H40" s="153"/>
      <c r="I40" s="153"/>
      <c r="J40" s="153"/>
      <c r="K40" s="85">
        <v>423.5</v>
      </c>
      <c r="L40" s="74" t="s">
        <v>16</v>
      </c>
      <c r="M40" s="75"/>
      <c r="N40" s="152" t="s">
        <v>204</v>
      </c>
      <c r="O40" s="153"/>
      <c r="P40" s="153"/>
      <c r="Q40" s="153"/>
      <c r="R40" s="85">
        <v>317.5</v>
      </c>
      <c r="S40" s="74" t="s">
        <v>16</v>
      </c>
      <c r="T40" s="75"/>
      <c r="U40" s="152" t="s">
        <v>204</v>
      </c>
      <c r="V40" s="153"/>
      <c r="W40" s="153"/>
      <c r="X40" s="153"/>
      <c r="Y40" s="85">
        <v>318</v>
      </c>
      <c r="Z40" s="74" t="s">
        <v>16</v>
      </c>
      <c r="AA40" s="84"/>
    </row>
    <row r="41" spans="1:27" x14ac:dyDescent="0.3">
      <c r="G41" s="152" t="s">
        <v>177</v>
      </c>
      <c r="H41" s="153"/>
      <c r="I41" s="153"/>
      <c r="J41" s="153"/>
      <c r="K41" s="85">
        <v>428.9</v>
      </c>
      <c r="L41" s="74" t="s">
        <v>16</v>
      </c>
      <c r="M41" s="75"/>
      <c r="N41" s="152" t="s">
        <v>177</v>
      </c>
      <c r="O41" s="153"/>
      <c r="P41" s="153"/>
      <c r="Q41" s="153"/>
      <c r="R41" s="85">
        <v>321</v>
      </c>
      <c r="S41" s="74" t="s">
        <v>16</v>
      </c>
      <c r="T41" s="75"/>
      <c r="U41" s="152" t="s">
        <v>177</v>
      </c>
      <c r="V41" s="153"/>
      <c r="W41" s="153"/>
      <c r="X41" s="153"/>
      <c r="Y41" s="85">
        <v>322</v>
      </c>
      <c r="Z41" s="74" t="s">
        <v>16</v>
      </c>
      <c r="AA41" s="84"/>
    </row>
    <row r="42" spans="1:27" x14ac:dyDescent="0.3">
      <c r="G42" s="152" t="s">
        <v>168</v>
      </c>
      <c r="H42" s="153"/>
      <c r="I42" s="153"/>
      <c r="J42" s="153"/>
      <c r="K42" s="85">
        <v>413</v>
      </c>
      <c r="L42" s="74" t="s">
        <v>16</v>
      </c>
      <c r="M42" s="75"/>
      <c r="N42" s="152" t="s">
        <v>168</v>
      </c>
      <c r="O42" s="153"/>
      <c r="P42" s="153"/>
      <c r="Q42" s="153"/>
      <c r="R42" s="85">
        <v>309.75</v>
      </c>
      <c r="S42" s="74" t="s">
        <v>16</v>
      </c>
      <c r="T42" s="75"/>
      <c r="U42" s="152" t="s">
        <v>168</v>
      </c>
      <c r="V42" s="153"/>
      <c r="W42" s="153"/>
      <c r="X42" s="153"/>
      <c r="Y42" s="85">
        <v>308.7</v>
      </c>
      <c r="Z42" s="74" t="s">
        <v>16</v>
      </c>
      <c r="AA42" s="16"/>
    </row>
    <row r="43" spans="1:27" x14ac:dyDescent="0.3">
      <c r="G43" s="154" t="s">
        <v>158</v>
      </c>
      <c r="H43" s="155"/>
      <c r="I43" s="155"/>
      <c r="J43" s="155"/>
      <c r="K43" s="87">
        <v>36</v>
      </c>
      <c r="L43" s="79" t="s">
        <v>16</v>
      </c>
      <c r="M43" s="75"/>
      <c r="N43" s="154" t="s">
        <v>158</v>
      </c>
      <c r="O43" s="155"/>
      <c r="P43" s="155"/>
      <c r="Q43" s="155"/>
      <c r="R43" s="87">
        <v>57</v>
      </c>
      <c r="S43" s="79" t="s">
        <v>16</v>
      </c>
      <c r="T43" s="75"/>
      <c r="U43" s="154" t="s">
        <v>158</v>
      </c>
      <c r="V43" s="155"/>
      <c r="W43" s="155"/>
      <c r="X43" s="155"/>
      <c r="Y43" s="87">
        <v>72</v>
      </c>
      <c r="Z43" s="79" t="s">
        <v>16</v>
      </c>
      <c r="AA43" s="84"/>
    </row>
    <row r="44" spans="1:27" x14ac:dyDescent="0.3">
      <c r="L44" s="84"/>
      <c r="AA44" s="84"/>
    </row>
    <row r="45" spans="1:27" x14ac:dyDescent="0.3">
      <c r="A45" s="149" t="s">
        <v>167</v>
      </c>
      <c r="B45" s="150"/>
      <c r="C45" s="150"/>
      <c r="D45" s="150"/>
      <c r="E45" s="83">
        <v>7</v>
      </c>
      <c r="L45" s="84"/>
      <c r="AA45" s="84"/>
    </row>
    <row r="46" spans="1:27" x14ac:dyDescent="0.3">
      <c r="A46" s="152" t="s">
        <v>139</v>
      </c>
      <c r="B46" s="153"/>
      <c r="C46" s="153"/>
      <c r="D46" s="73">
        <f>HLOOKUP($E$45,$18:$43,4)</f>
        <v>180</v>
      </c>
      <c r="E46" s="74" t="s">
        <v>16</v>
      </c>
      <c r="L46" s="84"/>
      <c r="R46" s="84"/>
      <c r="S46" s="84"/>
      <c r="AA46" s="84"/>
    </row>
    <row r="47" spans="1:27" x14ac:dyDescent="0.3">
      <c r="A47" s="158" t="s">
        <v>148</v>
      </c>
      <c r="B47" s="159"/>
      <c r="C47" s="159"/>
      <c r="D47" s="78">
        <f>HLOOKUP($E$45,$18:$43,5)</f>
        <v>2.5</v>
      </c>
      <c r="E47" s="79" t="s">
        <v>16</v>
      </c>
      <c r="L47" s="84"/>
      <c r="AA47" s="84"/>
    </row>
    <row r="48" spans="1:27" x14ac:dyDescent="0.3">
      <c r="A48" s="156" t="s">
        <v>215</v>
      </c>
      <c r="B48" s="157"/>
      <c r="C48" s="157"/>
      <c r="D48" s="157"/>
      <c r="E48" s="160"/>
      <c r="L48" s="84"/>
      <c r="Z48" s="58"/>
    </row>
    <row r="49" spans="1:26" x14ac:dyDescent="0.3">
      <c r="A49" s="161" t="s">
        <v>0</v>
      </c>
      <c r="B49" s="162"/>
      <c r="C49" s="162"/>
      <c r="D49" s="80">
        <f>HLOOKUP($E$45,$18:$43,6)</f>
        <v>2016</v>
      </c>
      <c r="E49" s="82" t="s">
        <v>152</v>
      </c>
      <c r="Z49" s="58"/>
    </row>
    <row r="50" spans="1:26" x14ac:dyDescent="0.3">
      <c r="A50" s="152" t="s">
        <v>150</v>
      </c>
      <c r="B50" s="153"/>
      <c r="C50" s="153"/>
      <c r="D50" s="73">
        <f>HLOOKUP($E$45,$18:$43,7)</f>
        <v>734</v>
      </c>
      <c r="E50" s="74" t="s">
        <v>152</v>
      </c>
      <c r="Z50" s="58"/>
    </row>
    <row r="51" spans="1:26" x14ac:dyDescent="0.3">
      <c r="A51" s="154" t="s">
        <v>151</v>
      </c>
      <c r="B51" s="155"/>
      <c r="C51" s="155"/>
      <c r="D51" s="78">
        <f>HLOOKUP($E$45,$18:$43,8)</f>
        <v>0</v>
      </c>
      <c r="E51" s="79" t="s">
        <v>152</v>
      </c>
      <c r="Z51" s="58"/>
    </row>
    <row r="52" spans="1:26" x14ac:dyDescent="0.3">
      <c r="A52" s="156" t="s">
        <v>205</v>
      </c>
      <c r="B52" s="157"/>
      <c r="C52" s="157"/>
      <c r="D52" s="157"/>
      <c r="E52" s="160"/>
      <c r="Z52" s="58"/>
    </row>
    <row r="53" spans="1:26" x14ac:dyDescent="0.3">
      <c r="A53" s="149" t="s">
        <v>206</v>
      </c>
      <c r="B53" s="150"/>
      <c r="C53" s="150"/>
      <c r="D53" s="80">
        <f>HLOOKUP($E$45,$18:$43,14)</f>
        <v>42.5</v>
      </c>
      <c r="E53" s="81" t="s">
        <v>16</v>
      </c>
      <c r="Z53" s="58"/>
    </row>
    <row r="54" spans="1:26" x14ac:dyDescent="0.3">
      <c r="A54" s="156" t="s">
        <v>157</v>
      </c>
      <c r="B54" s="157"/>
      <c r="C54" s="157"/>
      <c r="D54" s="73">
        <f>HLOOKUP($E$45,$18:$43,15)</f>
        <v>49</v>
      </c>
      <c r="E54" s="74" t="s">
        <v>16</v>
      </c>
      <c r="Z54" s="58"/>
    </row>
    <row r="55" spans="1:26" x14ac:dyDescent="0.3">
      <c r="A55" s="156" t="s">
        <v>156</v>
      </c>
      <c r="B55" s="157"/>
      <c r="C55" s="157"/>
      <c r="D55" s="73">
        <f>HLOOKUP($E$45,$18:$43,16)</f>
        <v>37.75</v>
      </c>
      <c r="E55" s="74" t="s">
        <v>16</v>
      </c>
      <c r="Z55" s="58"/>
    </row>
    <row r="56" spans="1:26" x14ac:dyDescent="0.3">
      <c r="A56" s="158" t="s">
        <v>158</v>
      </c>
      <c r="B56" s="159"/>
      <c r="C56" s="159"/>
      <c r="D56" s="78">
        <f>HLOOKUP($E$45,$18:$43,17)</f>
        <v>62</v>
      </c>
      <c r="E56" s="79" t="s">
        <v>16</v>
      </c>
      <c r="Z56" s="58"/>
    </row>
    <row r="57" spans="1:26" x14ac:dyDescent="0.3">
      <c r="A57" s="156" t="s">
        <v>207</v>
      </c>
      <c r="B57" s="157"/>
      <c r="C57" s="157"/>
      <c r="D57" s="157"/>
      <c r="E57" s="160"/>
      <c r="Z57" s="58"/>
    </row>
    <row r="58" spans="1:26" x14ac:dyDescent="0.3">
      <c r="A58" s="149" t="s">
        <v>206</v>
      </c>
      <c r="B58" s="150"/>
      <c r="C58" s="150"/>
      <c r="D58" s="80">
        <f>HLOOKUP($E$45,$18:$43,23)</f>
        <v>317.5</v>
      </c>
      <c r="E58" s="81" t="s">
        <v>16</v>
      </c>
    </row>
    <row r="59" spans="1:26" x14ac:dyDescent="0.3">
      <c r="A59" s="156" t="s">
        <v>157</v>
      </c>
      <c r="B59" s="157"/>
      <c r="C59" s="157"/>
      <c r="D59" s="73">
        <f>HLOOKUP($E$45,$18:$43,24)</f>
        <v>321</v>
      </c>
      <c r="E59" s="74" t="s">
        <v>16</v>
      </c>
    </row>
    <row r="60" spans="1:26" x14ac:dyDescent="0.3">
      <c r="A60" s="156" t="s">
        <v>272</v>
      </c>
      <c r="B60" s="157"/>
      <c r="C60" s="157"/>
      <c r="D60" s="73">
        <f>HLOOKUP($E$45,$18:$43,25)</f>
        <v>309.75</v>
      </c>
      <c r="E60" s="74" t="s">
        <v>16</v>
      </c>
    </row>
    <row r="61" spans="1:26" x14ac:dyDescent="0.3">
      <c r="A61" s="158" t="s">
        <v>158</v>
      </c>
      <c r="B61" s="159"/>
      <c r="C61" s="159"/>
      <c r="D61" s="78">
        <f>HLOOKUP($E$45,$18:$43,26)</f>
        <v>57</v>
      </c>
      <c r="E61" s="79" t="s">
        <v>16</v>
      </c>
    </row>
  </sheetData>
  <mergeCells count="113"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K28" sqref="K28"/>
    </sheetView>
  </sheetViews>
  <sheetFormatPr defaultRowHeight="14.4" x14ac:dyDescent="0.3"/>
  <cols>
    <col min="1" max="29" width="6.77734375" customWidth="1"/>
  </cols>
  <sheetData>
    <row r="1" spans="1:27" x14ac:dyDescent="0.3">
      <c r="A1" s="132" t="s">
        <v>131</v>
      </c>
      <c r="B1" s="132"/>
      <c r="C1" s="132"/>
      <c r="D1" s="132"/>
      <c r="E1" s="132"/>
      <c r="F1" s="132"/>
    </row>
    <row r="2" spans="1:27" x14ac:dyDescent="0.3">
      <c r="A2" s="110" t="s">
        <v>136</v>
      </c>
      <c r="B2" s="110"/>
      <c r="C2" s="110"/>
      <c r="D2" s="110"/>
      <c r="E2" s="1">
        <f>Передача!$E$9</f>
        <v>300</v>
      </c>
      <c r="F2" s="1" t="s">
        <v>22</v>
      </c>
      <c r="J2" t="s">
        <v>217</v>
      </c>
    </row>
    <row r="3" spans="1:27" x14ac:dyDescent="0.3">
      <c r="A3" s="110" t="s">
        <v>8</v>
      </c>
      <c r="B3" s="110"/>
      <c r="C3" s="110"/>
      <c r="D3" s="110"/>
      <c r="E3" s="16">
        <f>Передача!$E$10</f>
        <v>3</v>
      </c>
      <c r="F3" s="53" t="s">
        <v>127</v>
      </c>
      <c r="J3" s="110" t="s">
        <v>215</v>
      </c>
      <c r="K3" s="110"/>
      <c r="L3" s="110"/>
      <c r="M3" s="110"/>
      <c r="N3" s="110"/>
      <c r="T3" s="132" t="s">
        <v>153</v>
      </c>
      <c r="U3" s="132"/>
      <c r="V3" s="132"/>
      <c r="W3" s="132"/>
      <c r="X3" s="132" t="s">
        <v>180</v>
      </c>
      <c r="Y3" s="132"/>
      <c r="Z3" s="132" t="s">
        <v>169</v>
      </c>
      <c r="AA3" s="132"/>
    </row>
    <row r="4" spans="1:27" x14ac:dyDescent="0.3">
      <c r="A4" s="110" t="s">
        <v>200</v>
      </c>
      <c r="B4" s="110"/>
      <c r="C4" s="110"/>
      <c r="D4" s="110"/>
      <c r="E4" s="47" t="str">
        <f>Передача!$E$11</f>
        <v>?</v>
      </c>
      <c r="F4" s="1"/>
      <c r="J4" s="153" t="s">
        <v>0</v>
      </c>
      <c r="K4" s="153"/>
      <c r="L4" s="153"/>
      <c r="M4" s="76">
        <f>Передача!$D$49</f>
        <v>2016</v>
      </c>
      <c r="N4" s="73" t="s">
        <v>152</v>
      </c>
      <c r="T4" s="132" t="s">
        <v>241</v>
      </c>
      <c r="U4" s="132"/>
      <c r="V4" s="132"/>
      <c r="W4" s="132"/>
      <c r="X4" s="132">
        <v>0</v>
      </c>
      <c r="Y4" s="132"/>
      <c r="Z4" s="132">
        <f ca="1">E19</f>
        <v>55</v>
      </c>
      <c r="AA4" s="132"/>
    </row>
    <row r="5" spans="1:27" x14ac:dyDescent="0.3">
      <c r="A5" s="116" t="s">
        <v>202</v>
      </c>
      <c r="B5" s="116"/>
      <c r="C5" s="116"/>
      <c r="D5" s="116"/>
      <c r="E5" s="68" t="s">
        <v>201</v>
      </c>
      <c r="F5" s="1"/>
      <c r="J5" s="153" t="s">
        <v>150</v>
      </c>
      <c r="K5" s="153"/>
      <c r="L5" s="153"/>
      <c r="M5" s="76">
        <f>Передача!$D$50</f>
        <v>734</v>
      </c>
      <c r="N5" s="73" t="s">
        <v>152</v>
      </c>
      <c r="T5" s="132" t="s">
        <v>243</v>
      </c>
      <c r="U5" s="132"/>
      <c r="V5" s="132"/>
      <c r="W5" s="132"/>
      <c r="X5" s="132">
        <f ca="1">E19</f>
        <v>55</v>
      </c>
      <c r="Y5" s="132"/>
      <c r="Z5" s="132">
        <f>E18</f>
        <v>80</v>
      </c>
      <c r="AA5" s="132"/>
    </row>
    <row r="6" spans="1:27" x14ac:dyDescent="0.3">
      <c r="A6" s="132" t="s">
        <v>148</v>
      </c>
      <c r="B6" s="132"/>
      <c r="C6" s="132"/>
      <c r="D6" s="132"/>
      <c r="E6">
        <f>Передача!$D$47</f>
        <v>2.5</v>
      </c>
      <c r="F6" t="s">
        <v>16</v>
      </c>
      <c r="J6" s="153" t="s">
        <v>151</v>
      </c>
      <c r="K6" s="153"/>
      <c r="L6" s="153"/>
      <c r="M6" s="76">
        <f>Передача!$D$51</f>
        <v>0</v>
      </c>
      <c r="N6" s="73" t="s">
        <v>152</v>
      </c>
      <c r="T6" s="132" t="s">
        <v>342</v>
      </c>
      <c r="U6" s="132"/>
      <c r="V6" s="132"/>
      <c r="W6" s="132"/>
      <c r="X6" s="132">
        <v>45</v>
      </c>
      <c r="Y6" s="132"/>
      <c r="Z6" s="132">
        <v>45</v>
      </c>
      <c r="AA6" s="132"/>
    </row>
    <row r="7" spans="1:27" x14ac:dyDescent="0.3">
      <c r="A7" s="132" t="s">
        <v>204</v>
      </c>
      <c r="B7" s="132"/>
      <c r="C7" s="132"/>
      <c r="D7" s="132"/>
      <c r="E7">
        <f>Передача!$D$58</f>
        <v>317.5</v>
      </c>
      <c r="F7" s="1" t="s">
        <v>16</v>
      </c>
      <c r="T7" s="132" t="s">
        <v>227</v>
      </c>
      <c r="U7" s="132"/>
      <c r="V7" s="132"/>
      <c r="W7" s="132"/>
      <c r="X7" s="165">
        <v>0.3</v>
      </c>
      <c r="Y7" s="165"/>
      <c r="Z7" s="165">
        <v>0.3</v>
      </c>
      <c r="AA7" s="165"/>
    </row>
    <row r="8" spans="1:27" x14ac:dyDescent="0.3">
      <c r="A8" s="110" t="s">
        <v>177</v>
      </c>
      <c r="B8" s="110"/>
      <c r="C8" s="110"/>
      <c r="D8" s="110"/>
      <c r="E8" s="1">
        <f>Передача!$D$59</f>
        <v>321</v>
      </c>
      <c r="F8" s="1" t="s">
        <v>16</v>
      </c>
      <c r="J8" s="164" t="s">
        <v>341</v>
      </c>
      <c r="K8" s="164"/>
      <c r="L8" s="164"/>
      <c r="M8" s="164"/>
      <c r="N8" s="164"/>
      <c r="T8" s="132" t="s">
        <v>238</v>
      </c>
      <c r="U8" s="132"/>
      <c r="V8" s="132"/>
      <c r="W8" s="132"/>
      <c r="X8" s="165">
        <f>2.1*10^5</f>
        <v>210000</v>
      </c>
      <c r="Y8" s="165"/>
      <c r="Z8" s="165">
        <f>2.1*10^5</f>
        <v>210000</v>
      </c>
      <c r="AA8" s="165"/>
    </row>
    <row r="9" spans="1:27" x14ac:dyDescent="0.3">
      <c r="A9" s="110" t="s">
        <v>168</v>
      </c>
      <c r="B9" s="110"/>
      <c r="C9" s="110"/>
      <c r="D9" s="110"/>
      <c r="E9" s="1">
        <f>Передача!$D$60</f>
        <v>309.75</v>
      </c>
      <c r="F9" t="s">
        <v>16</v>
      </c>
      <c r="J9" s="132" t="s">
        <v>165</v>
      </c>
      <c r="K9" s="132"/>
      <c r="L9" s="132"/>
      <c r="M9">
        <f ca="1">Передача!$E$5</f>
        <v>339.37130342425513</v>
      </c>
      <c r="N9" s="25" t="s">
        <v>99</v>
      </c>
      <c r="T9" s="132" t="s">
        <v>237</v>
      </c>
      <c r="U9" s="132"/>
      <c r="V9" s="132"/>
      <c r="W9" s="132"/>
      <c r="X9" s="165">
        <f>VLOOKUP(X6,Материалы!$A:$L,8)</f>
        <v>650</v>
      </c>
      <c r="Y9" s="165"/>
      <c r="Z9" s="165">
        <f>VLOOKUP(Z6,Материалы!$A:$L,8)</f>
        <v>650</v>
      </c>
      <c r="AA9" s="165"/>
    </row>
    <row r="10" spans="1:27" x14ac:dyDescent="0.3">
      <c r="A10" s="132" t="s">
        <v>158</v>
      </c>
      <c r="B10" s="132"/>
      <c r="C10" s="132"/>
      <c r="D10" s="132"/>
      <c r="E10">
        <f>Передача!$D$61</f>
        <v>57</v>
      </c>
      <c r="F10" t="s">
        <v>16</v>
      </c>
      <c r="J10" s="132" t="s">
        <v>218</v>
      </c>
      <c r="K10" s="132"/>
      <c r="L10" s="132"/>
      <c r="M10" s="52">
        <v>3</v>
      </c>
      <c r="N10" s="25" t="s">
        <v>221</v>
      </c>
      <c r="T10" s="132" t="s">
        <v>239</v>
      </c>
      <c r="U10" s="132"/>
      <c r="V10" s="132"/>
      <c r="W10" s="132"/>
      <c r="X10" s="132">
        <f ca="1">(X5*X5+X4*X4)/(X5*X5-X4*X4)-X7</f>
        <v>0.7</v>
      </c>
      <c r="Y10" s="132"/>
      <c r="Z10" s="132">
        <f ca="1">(Z5*Z5+Z4*Z4)/(Z5*Z5-Z4*Z4)+Z7</f>
        <v>3.0925925925925926</v>
      </c>
      <c r="AA10" s="132"/>
    </row>
    <row r="11" spans="1:27" x14ac:dyDescent="0.3">
      <c r="A11" s="132" t="s">
        <v>208</v>
      </c>
      <c r="B11" s="132"/>
      <c r="C11" s="132"/>
      <c r="D11" s="132"/>
      <c r="E11">
        <f>_xlfn.MINIFS($34:$34,$33:$33,"&gt;="&amp;E7)</f>
        <v>5</v>
      </c>
      <c r="F11" t="s">
        <v>16</v>
      </c>
      <c r="J11" s="132" t="s">
        <v>220</v>
      </c>
      <c r="K11" s="132"/>
      <c r="L11" s="132"/>
      <c r="M11" s="52">
        <f>E37</f>
        <v>0.08</v>
      </c>
      <c r="O11" t="s">
        <v>225</v>
      </c>
      <c r="T11" s="132" t="s">
        <v>240</v>
      </c>
      <c r="U11" s="132"/>
      <c r="V11" s="132"/>
      <c r="W11" s="132"/>
      <c r="X11" s="132">
        <f ca="1">0.5*X9*(1-(X4*X4/X5/X5))</f>
        <v>325</v>
      </c>
      <c r="Y11" s="132"/>
      <c r="Z11" s="132">
        <f ca="1">0.5*Z9*(1-(Z4*Z4/Z5/Z5))</f>
        <v>171.38671875</v>
      </c>
      <c r="AA11" s="132"/>
    </row>
    <row r="12" spans="1:27" x14ac:dyDescent="0.3">
      <c r="A12" s="132" t="s">
        <v>209</v>
      </c>
      <c r="B12" s="132"/>
      <c r="C12" s="132"/>
      <c r="D12" s="132"/>
      <c r="E12" t="s">
        <v>210</v>
      </c>
      <c r="F12" t="s">
        <v>16</v>
      </c>
      <c r="J12" s="132" t="s">
        <v>222</v>
      </c>
      <c r="K12" s="132"/>
      <c r="L12" s="132"/>
      <c r="M12" s="25">
        <f>E17</f>
        <v>57</v>
      </c>
      <c r="N12" t="s">
        <v>16</v>
      </c>
      <c r="O12" t="s">
        <v>224</v>
      </c>
    </row>
    <row r="13" spans="1:27" x14ac:dyDescent="0.3">
      <c r="A13" s="163" t="s">
        <v>211</v>
      </c>
      <c r="B13" s="132"/>
      <c r="C13" s="132"/>
      <c r="D13" s="132"/>
      <c r="E13" t="s">
        <v>213</v>
      </c>
      <c r="F13" t="s">
        <v>212</v>
      </c>
      <c r="J13" s="132" t="s">
        <v>219</v>
      </c>
      <c r="K13" s="132"/>
      <c r="L13" s="132"/>
      <c r="M13">
        <f ca="1">2000*M10*M9/(PI()*E19*E19*M12*M11)</f>
        <v>46.98792560548906</v>
      </c>
      <c r="N13" t="s">
        <v>223</v>
      </c>
    </row>
    <row r="14" spans="1:27" x14ac:dyDescent="0.3">
      <c r="A14" s="132" t="s">
        <v>216</v>
      </c>
      <c r="B14" s="132"/>
      <c r="C14" s="132"/>
      <c r="D14" s="132"/>
      <c r="E14">
        <f>2.2*E6+0.05*E10</f>
        <v>8.35</v>
      </c>
      <c r="F14" t="s">
        <v>16</v>
      </c>
      <c r="J14" s="132" t="s">
        <v>226</v>
      </c>
      <c r="K14" s="132"/>
      <c r="L14" s="132"/>
      <c r="M14">
        <f ca="1">1000*M13*E19*(X10/X8+Z10/Z8)</f>
        <v>46.673015345699184</v>
      </c>
      <c r="N14" t="s">
        <v>232</v>
      </c>
    </row>
    <row r="15" spans="1:27" x14ac:dyDescent="0.3">
      <c r="A15" s="132" t="s">
        <v>214</v>
      </c>
      <c r="B15" s="132"/>
      <c r="C15" s="132"/>
      <c r="D15" s="132"/>
      <c r="E15">
        <f ca="1">(E18-E19)/2</f>
        <v>12.5</v>
      </c>
      <c r="F15" t="s">
        <v>16</v>
      </c>
      <c r="J15" s="132" t="s">
        <v>233</v>
      </c>
      <c r="K15" s="132"/>
      <c r="L15" s="132"/>
      <c r="M15">
        <f>5.5*(E20+'тихоходный вал'!E8)</f>
        <v>13.200000000000003</v>
      </c>
      <c r="N15" t="s">
        <v>232</v>
      </c>
      <c r="O15" t="s">
        <v>100</v>
      </c>
    </row>
    <row r="16" spans="1:27" x14ac:dyDescent="0.3">
      <c r="A16" s="132" t="s">
        <v>231</v>
      </c>
      <c r="B16" s="132"/>
      <c r="C16" s="132"/>
      <c r="D16" s="132"/>
      <c r="E16" s="52">
        <v>1</v>
      </c>
      <c r="J16" s="132" t="s">
        <v>234</v>
      </c>
      <c r="K16" s="132"/>
      <c r="L16" s="132"/>
      <c r="N16" t="s">
        <v>232</v>
      </c>
      <c r="O16" t="s">
        <v>100</v>
      </c>
    </row>
    <row r="17" spans="1:15" x14ac:dyDescent="0.3">
      <c r="A17" s="132" t="s">
        <v>229</v>
      </c>
      <c r="B17" s="132"/>
      <c r="C17" s="132"/>
      <c r="D17" s="132"/>
      <c r="E17">
        <f>E10*E16</f>
        <v>57</v>
      </c>
      <c r="F17" t="s">
        <v>16</v>
      </c>
      <c r="J17" s="132" t="s">
        <v>235</v>
      </c>
      <c r="K17" s="132"/>
      <c r="L17" s="132"/>
      <c r="M17" s="25">
        <f ca="1">SUM(M14:M16)</f>
        <v>59.873015345699187</v>
      </c>
      <c r="N17" t="s">
        <v>232</v>
      </c>
    </row>
    <row r="18" spans="1:15" x14ac:dyDescent="0.3">
      <c r="A18" s="132" t="s">
        <v>230</v>
      </c>
      <c r="B18" s="132"/>
      <c r="C18" s="132"/>
      <c r="D18" s="132"/>
      <c r="E18" s="52">
        <v>80</v>
      </c>
      <c r="F18" t="s">
        <v>16</v>
      </c>
      <c r="J18" s="132" t="s">
        <v>242</v>
      </c>
      <c r="K18" s="132"/>
      <c r="L18" s="132"/>
      <c r="M18">
        <f ca="1">MAX(X11:AA11)*M14/M13</f>
        <v>322.82186948853615</v>
      </c>
      <c r="N18" t="s">
        <v>232</v>
      </c>
    </row>
    <row r="19" spans="1:15" x14ac:dyDescent="0.3">
      <c r="A19" s="164" t="s">
        <v>228</v>
      </c>
      <c r="B19" s="164"/>
      <c r="C19" s="164"/>
      <c r="D19" s="164"/>
      <c r="E19" s="75">
        <f ca="1">Вал!$S$18</f>
        <v>55</v>
      </c>
      <c r="F19" s="75" t="s">
        <v>16</v>
      </c>
      <c r="J19" s="132" t="s">
        <v>236</v>
      </c>
      <c r="K19" s="132"/>
      <c r="L19" s="132"/>
      <c r="M19" s="88">
        <f ca="1">M18+M15</f>
        <v>336.02186948853614</v>
      </c>
      <c r="N19" t="s">
        <v>232</v>
      </c>
    </row>
    <row r="20" spans="1:15" x14ac:dyDescent="0.3">
      <c r="A20" s="132" t="s">
        <v>280</v>
      </c>
      <c r="B20" s="132"/>
      <c r="C20" s="132"/>
      <c r="D20" s="132"/>
      <c r="E20" s="69">
        <v>1.6</v>
      </c>
      <c r="F20" s="75" t="s">
        <v>232</v>
      </c>
      <c r="M20" s="92" t="s">
        <v>348</v>
      </c>
    </row>
    <row r="21" spans="1:15" x14ac:dyDescent="0.3">
      <c r="A21" s="132" t="s">
        <v>282</v>
      </c>
      <c r="B21" s="132"/>
      <c r="C21" s="132"/>
      <c r="D21" s="132"/>
      <c r="E21">
        <f ca="1">MAX(E10/4,(E15+E14)/2)</f>
        <v>14.25</v>
      </c>
      <c r="F21" t="s">
        <v>16</v>
      </c>
      <c r="J21" s="132" t="s">
        <v>252</v>
      </c>
      <c r="K21" s="132"/>
      <c r="L21" s="132"/>
      <c r="M21">
        <v>66</v>
      </c>
      <c r="N21">
        <v>108</v>
      </c>
      <c r="O21" t="s">
        <v>232</v>
      </c>
    </row>
    <row r="22" spans="1:15" x14ac:dyDescent="0.3">
      <c r="A22" s="132" t="s">
        <v>340</v>
      </c>
      <c r="B22" s="132"/>
      <c r="C22" s="132"/>
      <c r="D22" s="132"/>
      <c r="E22">
        <f ca="1">(E10-E21)/2</f>
        <v>21.375</v>
      </c>
      <c r="F22" t="s">
        <v>16</v>
      </c>
      <c r="J22" s="132" t="s">
        <v>245</v>
      </c>
      <c r="K22" s="132"/>
      <c r="L22" s="132"/>
      <c r="M22">
        <v>0.2</v>
      </c>
    </row>
    <row r="23" spans="1:15" x14ac:dyDescent="0.3">
      <c r="J23" s="132" t="s">
        <v>244</v>
      </c>
      <c r="K23" s="132"/>
      <c r="L23" s="132"/>
      <c r="M23">
        <f ca="1">PI()*E19*M12*(M21-M15)*M22/1000</f>
        <v>104.00430975268226</v>
      </c>
      <c r="N23" t="s">
        <v>4</v>
      </c>
    </row>
    <row r="26" spans="1:15" x14ac:dyDescent="0.3">
      <c r="J26" s="48"/>
      <c r="K26" s="48"/>
    </row>
    <row r="32" spans="1:15" x14ac:dyDescent="0.3">
      <c r="A32" s="132" t="s">
        <v>174</v>
      </c>
      <c r="B32" s="132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32" t="s">
        <v>175</v>
      </c>
      <c r="B33" s="132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32" t="s">
        <v>203</v>
      </c>
      <c r="B34" s="132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32" t="s">
        <v>273</v>
      </c>
      <c r="B36" s="132"/>
      <c r="C36" s="132" t="s">
        <v>274</v>
      </c>
      <c r="D36" s="132"/>
      <c r="E36" s="132" t="s">
        <v>278</v>
      </c>
      <c r="F36" s="132"/>
      <c r="G36" s="132" t="s">
        <v>279</v>
      </c>
      <c r="H36" s="132"/>
    </row>
    <row r="37" spans="1:10" x14ac:dyDescent="0.3">
      <c r="A37" s="132" t="s">
        <v>275</v>
      </c>
      <c r="B37" s="132"/>
      <c r="C37" s="132" t="s">
        <v>275</v>
      </c>
      <c r="D37" s="132"/>
      <c r="E37" s="132">
        <v>0.08</v>
      </c>
      <c r="F37" s="132"/>
      <c r="G37" s="132">
        <v>0.14000000000000001</v>
      </c>
      <c r="H37" s="132"/>
    </row>
    <row r="38" spans="1:10" x14ac:dyDescent="0.3">
      <c r="A38" s="132" t="s">
        <v>276</v>
      </c>
      <c r="B38" s="132"/>
      <c r="C38" s="132" t="s">
        <v>275</v>
      </c>
      <c r="D38" s="132"/>
      <c r="E38" s="132">
        <v>0.08</v>
      </c>
      <c r="F38" s="132"/>
      <c r="G38" s="132">
        <v>0.14000000000000001</v>
      </c>
      <c r="H38" s="132"/>
    </row>
    <row r="39" spans="1:10" x14ac:dyDescent="0.3">
      <c r="A39" s="132" t="s">
        <v>275</v>
      </c>
      <c r="B39" s="132"/>
      <c r="C39" s="132" t="s">
        <v>277</v>
      </c>
      <c r="D39" s="132"/>
      <c r="E39" s="132">
        <v>0.05</v>
      </c>
      <c r="F39" s="132"/>
      <c r="G39" s="132">
        <v>7.0000000000000007E-2</v>
      </c>
      <c r="H39" s="132"/>
    </row>
    <row r="40" spans="1:10" x14ac:dyDescent="0.3">
      <c r="A40" s="132" t="s">
        <v>276</v>
      </c>
      <c r="B40" s="132"/>
      <c r="C40" s="132" t="s">
        <v>277</v>
      </c>
      <c r="D40" s="132"/>
      <c r="E40" s="132">
        <v>0.05</v>
      </c>
      <c r="F40" s="132"/>
      <c r="G40" s="132">
        <v>7.0000000000000007E-2</v>
      </c>
      <c r="H40" s="132"/>
    </row>
  </sheetData>
  <mergeCells count="91"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10:AA10"/>
    <mergeCell ref="X10:Y10"/>
    <mergeCell ref="J13:L13"/>
    <mergeCell ref="Z3:AA3"/>
    <mergeCell ref="T3:W3"/>
    <mergeCell ref="T4:W4"/>
    <mergeCell ref="T5:W5"/>
    <mergeCell ref="X4:Y4"/>
    <mergeCell ref="X5:Y5"/>
    <mergeCell ref="X3:Y3"/>
    <mergeCell ref="Z5:AA5"/>
    <mergeCell ref="J11:L11"/>
    <mergeCell ref="J12:L12"/>
    <mergeCell ref="X11:Y11"/>
    <mergeCell ref="T8:W8"/>
    <mergeCell ref="T9:W9"/>
    <mergeCell ref="T10:W10"/>
    <mergeCell ref="T11:W11"/>
    <mergeCell ref="J8:N8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A8:D8"/>
    <mergeCell ref="A7:D7"/>
    <mergeCell ref="J3:N3"/>
    <mergeCell ref="J4:L4"/>
    <mergeCell ref="J5:L5"/>
    <mergeCell ref="T7:W7"/>
    <mergeCell ref="A1:F1"/>
    <mergeCell ref="A2:D2"/>
    <mergeCell ref="A3:D3"/>
    <mergeCell ref="A4:D4"/>
    <mergeCell ref="A5:D5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A39:B39"/>
    <mergeCell ref="A40:B40"/>
    <mergeCell ref="A38:B38"/>
    <mergeCell ref="C38:D38"/>
    <mergeCell ref="C39:D39"/>
    <mergeCell ref="C40:D40"/>
    <mergeCell ref="E36:F36"/>
    <mergeCell ref="G36:H36"/>
    <mergeCell ref="E37:F37"/>
    <mergeCell ref="E38:F38"/>
    <mergeCell ref="E39:F39"/>
    <mergeCell ref="E40:F40"/>
    <mergeCell ref="G37:H37"/>
    <mergeCell ref="G38:H38"/>
    <mergeCell ref="G39:H39"/>
    <mergeCell ref="G40:H40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G43"/>
  <sheetViews>
    <sheetView topLeftCell="A10" workbookViewId="0">
      <selection activeCell="E30" sqref="E30"/>
    </sheetView>
  </sheetViews>
  <sheetFormatPr defaultRowHeight="14.4" x14ac:dyDescent="0.3"/>
  <cols>
    <col min="1" max="20" width="6.77734375" customWidth="1"/>
  </cols>
  <sheetData>
    <row r="2" spans="1:6" x14ac:dyDescent="0.3">
      <c r="A2" s="132" t="s">
        <v>180</v>
      </c>
      <c r="B2" s="132"/>
      <c r="C2" s="132"/>
      <c r="D2" s="132"/>
    </row>
    <row r="3" spans="1:6" x14ac:dyDescent="0.3">
      <c r="A3" s="132" t="s">
        <v>253</v>
      </c>
      <c r="B3" s="132"/>
      <c r="C3" s="132"/>
      <c r="D3" s="132"/>
      <c r="E3">
        <f ca="1">Колесо!E19</f>
        <v>55</v>
      </c>
      <c r="F3" t="s">
        <v>16</v>
      </c>
    </row>
    <row r="4" spans="1:6" x14ac:dyDescent="0.3">
      <c r="A4" s="132" t="s">
        <v>344</v>
      </c>
      <c r="B4" s="132"/>
      <c r="C4" s="132"/>
      <c r="D4" s="132"/>
      <c r="E4">
        <f>Корпус!$E$8</f>
        <v>10.072378298355165</v>
      </c>
      <c r="F4" t="s">
        <v>16</v>
      </c>
    </row>
    <row r="5" spans="1:6" x14ac:dyDescent="0.3">
      <c r="A5" s="132" t="s">
        <v>343</v>
      </c>
      <c r="B5" s="132"/>
      <c r="C5" s="132"/>
      <c r="D5" s="132"/>
      <c r="E5">
        <f ca="1">Вал!$S$22</f>
        <v>20</v>
      </c>
      <c r="F5" t="s">
        <v>16</v>
      </c>
    </row>
    <row r="6" spans="1:6" x14ac:dyDescent="0.3">
      <c r="A6" s="132" t="s">
        <v>345</v>
      </c>
      <c r="B6" s="132"/>
      <c r="C6" s="132"/>
      <c r="D6" s="132"/>
    </row>
    <row r="7" spans="1:6" x14ac:dyDescent="0.3">
      <c r="A7" s="132" t="s">
        <v>198</v>
      </c>
      <c r="B7" s="132"/>
      <c r="C7" s="132"/>
      <c r="D7" s="132"/>
      <c r="E7">
        <f ca="1">E5*2+2+Колесо!E10+E4*2</f>
        <v>119.14475659671032</v>
      </c>
      <c r="F7" t="s">
        <v>16</v>
      </c>
    </row>
    <row r="8" spans="1:6" x14ac:dyDescent="0.3">
      <c r="A8" s="132" t="s">
        <v>281</v>
      </c>
      <c r="B8" s="132"/>
      <c r="C8" s="132"/>
      <c r="D8" s="132"/>
      <c r="E8" s="52">
        <v>0.8</v>
      </c>
      <c r="F8" t="s">
        <v>232</v>
      </c>
    </row>
    <row r="9" spans="1:6" x14ac:dyDescent="0.3">
      <c r="A9" s="132" t="s">
        <v>342</v>
      </c>
      <c r="B9" s="132"/>
      <c r="C9" s="132"/>
      <c r="D9" s="132"/>
      <c r="E9" s="52" t="str">
        <f>Материалы!A7</f>
        <v>40Х</v>
      </c>
    </row>
    <row r="10" spans="1:6" x14ac:dyDescent="0.3">
      <c r="A10" s="132" t="s">
        <v>367</v>
      </c>
      <c r="B10" s="132"/>
      <c r="C10" s="132"/>
      <c r="D10" s="132"/>
      <c r="E10">
        <f>VLOOKUP($E$9, Материалы!A:L,8,FALSE)</f>
        <v>640</v>
      </c>
    </row>
    <row r="11" spans="1:6" x14ac:dyDescent="0.3">
      <c r="A11" s="132" t="s">
        <v>368</v>
      </c>
      <c r="B11" s="132"/>
      <c r="C11" s="132"/>
      <c r="D11" s="132"/>
      <c r="E11">
        <f>VLOOKUP($E$9, Материалы!A:L,8,FALSE)</f>
        <v>640</v>
      </c>
    </row>
    <row r="18" spans="1:6" x14ac:dyDescent="0.3">
      <c r="A18" s="132" t="s">
        <v>28</v>
      </c>
      <c r="B18" s="132"/>
      <c r="C18" s="132"/>
      <c r="D18" s="132"/>
    </row>
    <row r="19" spans="1:6" x14ac:dyDescent="0.3">
      <c r="A19" s="132" t="s">
        <v>358</v>
      </c>
      <c r="B19" s="132"/>
      <c r="C19" s="132"/>
      <c r="D19" s="132"/>
      <c r="E19">
        <v>1.4</v>
      </c>
      <c r="F19" t="s">
        <v>359</v>
      </c>
    </row>
    <row r="20" spans="1:6" x14ac:dyDescent="0.3">
      <c r="A20" s="132" t="s">
        <v>360</v>
      </c>
      <c r="B20" s="132"/>
      <c r="C20" s="132"/>
      <c r="D20" s="132"/>
      <c r="E20" t="s">
        <v>361</v>
      </c>
    </row>
    <row r="26" spans="1:6" x14ac:dyDescent="0.3">
      <c r="A26" s="132" t="s">
        <v>468</v>
      </c>
      <c r="B26" s="132"/>
      <c r="C26" s="132"/>
      <c r="D26" s="132"/>
      <c r="E26" s="132"/>
    </row>
    <row r="27" spans="1:6" x14ac:dyDescent="0.3">
      <c r="A27" t="s">
        <v>469</v>
      </c>
    </row>
    <row r="28" spans="1:6" x14ac:dyDescent="0.3">
      <c r="A28" s="132" t="s">
        <v>362</v>
      </c>
      <c r="B28" s="132"/>
      <c r="C28" s="132"/>
      <c r="D28" s="132"/>
    </row>
    <row r="29" spans="1:6" x14ac:dyDescent="0.3">
      <c r="A29" s="132" t="s">
        <v>165</v>
      </c>
      <c r="B29" s="132"/>
      <c r="C29" s="132"/>
      <c r="D29" s="132"/>
      <c r="E29">
        <f ca="1">Электродвигатель!$P$56</f>
        <v>342.7992963881365</v>
      </c>
      <c r="F29" t="s">
        <v>99</v>
      </c>
    </row>
    <row r="30" spans="1:6" x14ac:dyDescent="0.3">
      <c r="A30" s="132" t="s">
        <v>117</v>
      </c>
      <c r="B30" s="132"/>
      <c r="C30" s="132"/>
      <c r="D30" s="132"/>
      <c r="E30">
        <f ca="1">Вал!S12</f>
        <v>40</v>
      </c>
      <c r="F30" t="s">
        <v>16</v>
      </c>
    </row>
    <row r="31" spans="1:6" x14ac:dyDescent="0.3">
      <c r="A31" s="132" t="s">
        <v>370</v>
      </c>
      <c r="B31" s="132"/>
      <c r="C31" s="132"/>
      <c r="D31" s="132"/>
      <c r="E31" s="132"/>
      <c r="F31" s="132"/>
    </row>
    <row r="32" spans="1:6" x14ac:dyDescent="0.3">
      <c r="A32" s="132" t="s">
        <v>363</v>
      </c>
      <c r="B32" s="132"/>
      <c r="C32" s="132"/>
      <c r="D32" s="132"/>
      <c r="E32" s="52">
        <v>12</v>
      </c>
      <c r="F32" t="s">
        <v>16</v>
      </c>
    </row>
    <row r="33" spans="1:7" x14ac:dyDescent="0.3">
      <c r="A33" s="132" t="s">
        <v>364</v>
      </c>
      <c r="B33" s="132"/>
      <c r="C33" s="132"/>
      <c r="D33" s="132"/>
      <c r="E33" s="52">
        <v>8</v>
      </c>
      <c r="F33" t="s">
        <v>16</v>
      </c>
    </row>
    <row r="34" spans="1:7" x14ac:dyDescent="0.3">
      <c r="A34" s="132" t="s">
        <v>366</v>
      </c>
      <c r="B34" s="132"/>
      <c r="C34" s="132"/>
      <c r="D34" s="132"/>
      <c r="E34" s="52">
        <v>5</v>
      </c>
      <c r="F34" t="s">
        <v>16</v>
      </c>
    </row>
    <row r="35" spans="1:7" x14ac:dyDescent="0.3">
      <c r="A35" s="132" t="s">
        <v>203</v>
      </c>
      <c r="B35" s="132"/>
      <c r="C35" s="132"/>
      <c r="D35" s="132"/>
      <c r="E35" s="52">
        <v>0.5</v>
      </c>
      <c r="F35" t="s">
        <v>16</v>
      </c>
    </row>
    <row r="36" spans="1:7" x14ac:dyDescent="0.3">
      <c r="A36" s="132" t="s">
        <v>365</v>
      </c>
      <c r="B36" s="132"/>
      <c r="C36" s="132"/>
      <c r="D36" s="132"/>
      <c r="E36" s="52">
        <v>3.3</v>
      </c>
      <c r="F36" t="s">
        <v>16</v>
      </c>
    </row>
    <row r="37" spans="1:7" x14ac:dyDescent="0.3">
      <c r="A37" s="48"/>
      <c r="B37" s="48"/>
      <c r="C37" s="48"/>
      <c r="D37" s="48"/>
    </row>
    <row r="38" spans="1:7" x14ac:dyDescent="0.3">
      <c r="A38" s="132" t="s">
        <v>374</v>
      </c>
      <c r="B38" s="132"/>
      <c r="C38" s="132"/>
      <c r="D38" s="132"/>
      <c r="E38">
        <f>MIN(E34,E33-E34)</f>
        <v>3</v>
      </c>
      <c r="F38" t="s">
        <v>16</v>
      </c>
    </row>
    <row r="39" spans="1:7" x14ac:dyDescent="0.3">
      <c r="A39" s="132" t="s">
        <v>369</v>
      </c>
      <c r="B39" s="132"/>
      <c r="C39" s="132"/>
      <c r="D39" s="132"/>
      <c r="E39" s="52">
        <v>120</v>
      </c>
      <c r="F39" t="s">
        <v>371</v>
      </c>
      <c r="G39" t="s">
        <v>100</v>
      </c>
    </row>
    <row r="40" spans="1:7" x14ac:dyDescent="0.3">
      <c r="A40" s="132" t="s">
        <v>372</v>
      </c>
      <c r="B40" s="132"/>
      <c r="C40" s="132"/>
      <c r="D40" s="132"/>
      <c r="E40">
        <f ca="1">E29*2*1000/E30/E39/E38</f>
        <v>47.611013387241179</v>
      </c>
      <c r="F40" t="s">
        <v>16</v>
      </c>
    </row>
    <row r="41" spans="1:7" x14ac:dyDescent="0.3">
      <c r="A41" s="132" t="s">
        <v>198</v>
      </c>
      <c r="B41" s="132"/>
      <c r="C41" s="132"/>
      <c r="D41" s="132"/>
      <c r="E41">
        <f ca="1">E40+E32</f>
        <v>59.611013387241179</v>
      </c>
      <c r="F41" t="s">
        <v>16</v>
      </c>
    </row>
    <row r="42" spans="1:7" x14ac:dyDescent="0.3">
      <c r="A42" s="48"/>
      <c r="B42" s="48"/>
      <c r="C42" s="48"/>
      <c r="D42" s="48"/>
    </row>
    <row r="43" spans="1:7" x14ac:dyDescent="0.3">
      <c r="A43" s="48"/>
      <c r="B43" s="48"/>
      <c r="C43" s="48"/>
      <c r="D43" s="48"/>
    </row>
  </sheetData>
  <mergeCells count="27">
    <mergeCell ref="A41:D41"/>
    <mergeCell ref="A38:D38"/>
    <mergeCell ref="A39:D39"/>
    <mergeCell ref="A40:D40"/>
    <mergeCell ref="A35:D35"/>
    <mergeCell ref="A36:D36"/>
    <mergeCell ref="A2:D2"/>
    <mergeCell ref="A18:D18"/>
    <mergeCell ref="A19:D19"/>
    <mergeCell ref="A20:D20"/>
    <mergeCell ref="A28:D28"/>
    <mergeCell ref="A8:D8"/>
    <mergeCell ref="A3:D3"/>
    <mergeCell ref="A7:D7"/>
    <mergeCell ref="A5:D5"/>
    <mergeCell ref="A4:D4"/>
    <mergeCell ref="A6:D6"/>
    <mergeCell ref="A9:D9"/>
    <mergeCell ref="A10:D10"/>
    <mergeCell ref="A11:D11"/>
    <mergeCell ref="A26:E26"/>
    <mergeCell ref="A29:D29"/>
    <mergeCell ref="A30:D30"/>
    <mergeCell ref="A32:D32"/>
    <mergeCell ref="A34:D34"/>
    <mergeCell ref="A33:D33"/>
    <mergeCell ref="A31:F3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6:F19"/>
  <sheetViews>
    <sheetView workbookViewId="0">
      <selection activeCell="E10" sqref="E10"/>
    </sheetView>
  </sheetViews>
  <sheetFormatPr defaultRowHeight="14.4" x14ac:dyDescent="0.3"/>
  <cols>
    <col min="1" max="14" width="6.77734375" customWidth="1"/>
  </cols>
  <sheetData>
    <row r="6" spans="1:6" x14ac:dyDescent="0.3">
      <c r="A6" s="132" t="s">
        <v>362</v>
      </c>
      <c r="B6" s="132"/>
      <c r="C6" s="132"/>
      <c r="D6" s="132"/>
    </row>
    <row r="7" spans="1:6" x14ac:dyDescent="0.3">
      <c r="A7" s="132" t="s">
        <v>165</v>
      </c>
      <c r="B7" s="132"/>
      <c r="C7" s="132"/>
      <c r="D7" s="132"/>
      <c r="E7" s="60">
        <f>Электродвигатель!$P$53</f>
        <v>48.741201321892952</v>
      </c>
      <c r="F7" t="s">
        <v>99</v>
      </c>
    </row>
    <row r="8" spans="1:6" x14ac:dyDescent="0.3">
      <c r="A8" s="132" t="s">
        <v>117</v>
      </c>
      <c r="B8" s="132"/>
      <c r="C8" s="132"/>
      <c r="D8" s="132"/>
      <c r="E8">
        <f>Вал!K13</f>
        <v>32</v>
      </c>
      <c r="F8" t="s">
        <v>16</v>
      </c>
    </row>
    <row r="9" spans="1:6" x14ac:dyDescent="0.3">
      <c r="A9" s="132" t="s">
        <v>370</v>
      </c>
      <c r="B9" s="132"/>
      <c r="C9" s="132"/>
      <c r="D9" s="132"/>
      <c r="E9" s="132"/>
      <c r="F9" s="132"/>
    </row>
    <row r="10" spans="1:6" x14ac:dyDescent="0.3">
      <c r="A10" s="132" t="s">
        <v>363</v>
      </c>
      <c r="B10" s="132"/>
      <c r="C10" s="132"/>
      <c r="D10" s="132"/>
      <c r="E10" s="52">
        <v>10</v>
      </c>
      <c r="F10" t="s">
        <v>16</v>
      </c>
    </row>
    <row r="11" spans="1:6" x14ac:dyDescent="0.3">
      <c r="A11" s="132" t="s">
        <v>364</v>
      </c>
      <c r="B11" s="132"/>
      <c r="C11" s="132"/>
      <c r="D11" s="132"/>
      <c r="E11" s="52">
        <v>8</v>
      </c>
      <c r="F11" t="s">
        <v>16</v>
      </c>
    </row>
    <row r="12" spans="1:6" x14ac:dyDescent="0.3">
      <c r="A12" s="132" t="s">
        <v>366</v>
      </c>
      <c r="B12" s="132"/>
      <c r="C12" s="132"/>
      <c r="D12" s="132"/>
      <c r="E12" s="52">
        <v>5</v>
      </c>
      <c r="F12" t="s">
        <v>16</v>
      </c>
    </row>
    <row r="13" spans="1:6" x14ac:dyDescent="0.3">
      <c r="A13" s="132" t="s">
        <v>203</v>
      </c>
      <c r="B13" s="132"/>
      <c r="C13" s="132"/>
      <c r="D13" s="132"/>
      <c r="E13" s="52">
        <v>0.5</v>
      </c>
      <c r="F13" t="s">
        <v>16</v>
      </c>
    </row>
    <row r="14" spans="1:6" x14ac:dyDescent="0.3">
      <c r="A14" s="132" t="s">
        <v>365</v>
      </c>
      <c r="B14" s="132"/>
      <c r="C14" s="132"/>
      <c r="D14" s="132"/>
      <c r="E14" s="52">
        <v>3.3</v>
      </c>
      <c r="F14" t="s">
        <v>16</v>
      </c>
    </row>
    <row r="15" spans="1:6" x14ac:dyDescent="0.3">
      <c r="A15" s="48"/>
      <c r="B15" s="48"/>
      <c r="C15" s="48"/>
      <c r="D15" s="48"/>
    </row>
    <row r="16" spans="1:6" x14ac:dyDescent="0.3">
      <c r="A16" s="132" t="s">
        <v>373</v>
      </c>
      <c r="B16" s="132"/>
      <c r="C16" s="132"/>
      <c r="D16" s="132"/>
      <c r="E16">
        <f>MIN(E12,E11-E12)</f>
        <v>3</v>
      </c>
      <c r="F16" t="s">
        <v>16</v>
      </c>
    </row>
    <row r="17" spans="1:6" x14ac:dyDescent="0.3">
      <c r="A17" s="132" t="s">
        <v>369</v>
      </c>
      <c r="B17" s="132"/>
      <c r="C17" s="132"/>
      <c r="D17" s="132"/>
      <c r="E17" s="88">
        <f>'тихоходный вал'!E39</f>
        <v>120</v>
      </c>
      <c r="F17" t="s">
        <v>371</v>
      </c>
    </row>
    <row r="18" spans="1:6" x14ac:dyDescent="0.3">
      <c r="A18" s="132" t="s">
        <v>372</v>
      </c>
      <c r="B18" s="132"/>
      <c r="C18" s="132"/>
      <c r="D18" s="132"/>
      <c r="E18">
        <f>E7*2*1000/E8/E17/E16</f>
        <v>8.462014118384193</v>
      </c>
      <c r="F18" t="s">
        <v>16</v>
      </c>
    </row>
    <row r="19" spans="1:6" x14ac:dyDescent="0.3">
      <c r="A19" s="132" t="s">
        <v>198</v>
      </c>
      <c r="B19" s="132"/>
      <c r="C19" s="132"/>
      <c r="D19" s="132"/>
      <c r="E19">
        <f>E18+E10</f>
        <v>18.462014118384193</v>
      </c>
      <c r="F19" t="s">
        <v>16</v>
      </c>
    </row>
  </sheetData>
  <mergeCells count="13">
    <mergeCell ref="A16:D16"/>
    <mergeCell ref="A17:D17"/>
    <mergeCell ref="A18:D18"/>
    <mergeCell ref="A19:D19"/>
    <mergeCell ref="A6:D6"/>
    <mergeCell ref="A7:D7"/>
    <mergeCell ref="A8:D8"/>
    <mergeCell ref="A9:F9"/>
    <mergeCell ref="A10:D10"/>
    <mergeCell ref="A11:D11"/>
    <mergeCell ref="A12:D12"/>
    <mergeCell ref="A13:D13"/>
    <mergeCell ref="A14:D1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1B27-1B6E-4434-A576-709F124EC6EE}">
  <dimension ref="A1:U57"/>
  <sheetViews>
    <sheetView workbookViewId="0">
      <selection activeCell="J13" sqref="J13"/>
    </sheetView>
  </sheetViews>
  <sheetFormatPr defaultRowHeight="14.4" x14ac:dyDescent="0.3"/>
  <cols>
    <col min="1" max="26" width="6.77734375" customWidth="1"/>
  </cols>
  <sheetData>
    <row r="1" spans="1:21" x14ac:dyDescent="0.3">
      <c r="A1" s="132" t="s">
        <v>248</v>
      </c>
      <c r="B1" s="132"/>
      <c r="C1" s="132"/>
      <c r="D1" s="132"/>
      <c r="E1" s="132"/>
      <c r="F1" s="132"/>
    </row>
    <row r="2" spans="1:21" x14ac:dyDescent="0.3">
      <c r="A2" s="132" t="s">
        <v>165</v>
      </c>
      <c r="B2" s="132"/>
      <c r="C2" s="132"/>
      <c r="D2" s="132"/>
      <c r="E2" s="60">
        <f>Электродвигатель!$P$53</f>
        <v>48.741201321892952</v>
      </c>
      <c r="F2" t="s">
        <v>99</v>
      </c>
      <c r="H2" s="132" t="s">
        <v>29</v>
      </c>
      <c r="I2" s="132"/>
      <c r="J2" s="132"/>
      <c r="K2" s="132"/>
      <c r="L2" s="132"/>
      <c r="N2" s="132" t="s">
        <v>249</v>
      </c>
      <c r="O2" s="132"/>
      <c r="P2" s="132"/>
      <c r="Q2" s="132"/>
      <c r="R2" s="132"/>
      <c r="S2" s="132"/>
    </row>
    <row r="3" spans="1:21" x14ac:dyDescent="0.3">
      <c r="A3" s="132" t="s">
        <v>70</v>
      </c>
      <c r="B3" s="132"/>
      <c r="C3" s="132"/>
      <c r="D3" s="132"/>
      <c r="E3" s="61">
        <f>Электродвигатель!$N$53</f>
        <v>1440</v>
      </c>
      <c r="F3" t="s">
        <v>310</v>
      </c>
      <c r="H3" s="153" t="s">
        <v>383</v>
      </c>
      <c r="I3" s="153"/>
      <c r="J3" s="153"/>
      <c r="K3" s="76">
        <f>Передача!$D$49</f>
        <v>2016</v>
      </c>
      <c r="L3" s="73" t="s">
        <v>152</v>
      </c>
      <c r="N3" s="132" t="s">
        <v>165</v>
      </c>
      <c r="O3" s="132"/>
      <c r="P3" s="132"/>
      <c r="Q3" s="132"/>
      <c r="R3" s="60">
        <f ca="1">Электродвигатель!$P$55</f>
        <v>349.79520039605768</v>
      </c>
      <c r="S3" t="s">
        <v>99</v>
      </c>
    </row>
    <row r="4" spans="1:21" x14ac:dyDescent="0.3">
      <c r="A4" s="132" t="s">
        <v>176</v>
      </c>
      <c r="B4" s="132"/>
      <c r="C4" s="132"/>
      <c r="D4" s="132"/>
      <c r="E4">
        <v>100</v>
      </c>
      <c r="F4" t="s">
        <v>57</v>
      </c>
      <c r="G4" t="s">
        <v>100</v>
      </c>
      <c r="H4" s="153" t="s">
        <v>382</v>
      </c>
      <c r="I4" s="153"/>
      <c r="J4" s="153"/>
      <c r="K4" s="76">
        <f>Передача!$D$50</f>
        <v>734</v>
      </c>
      <c r="L4" s="73" t="s">
        <v>152</v>
      </c>
      <c r="N4" s="132" t="s">
        <v>176</v>
      </c>
      <c r="O4" s="132"/>
      <c r="P4" s="132"/>
      <c r="Q4" s="132"/>
      <c r="R4">
        <v>50</v>
      </c>
      <c r="S4" t="s">
        <v>57</v>
      </c>
      <c r="T4" t="s">
        <v>100</v>
      </c>
    </row>
    <row r="5" spans="1:21" x14ac:dyDescent="0.3">
      <c r="A5" s="132" t="s">
        <v>384</v>
      </c>
      <c r="B5" s="132"/>
      <c r="C5" s="132"/>
      <c r="D5" s="132"/>
      <c r="E5">
        <f>E4*SQRT(E2)</f>
        <v>698.14899070250726</v>
      </c>
      <c r="F5" t="s">
        <v>152</v>
      </c>
      <c r="H5" s="153" t="s">
        <v>381</v>
      </c>
      <c r="I5" s="153"/>
      <c r="J5" s="153"/>
      <c r="K5" s="76">
        <f>Передача!$D$51</f>
        <v>0</v>
      </c>
      <c r="L5" s="73" t="s">
        <v>152</v>
      </c>
      <c r="N5" s="132" t="s">
        <v>384</v>
      </c>
      <c r="O5" s="132"/>
      <c r="P5" s="132"/>
      <c r="Q5" s="132"/>
      <c r="R5">
        <f>-U7*K3</f>
        <v>-2822.3999999999996</v>
      </c>
      <c r="S5" t="s">
        <v>152</v>
      </c>
    </row>
    <row r="6" spans="1:21" x14ac:dyDescent="0.3">
      <c r="A6" s="132" t="s">
        <v>176</v>
      </c>
      <c r="B6" s="132"/>
      <c r="C6" s="132"/>
      <c r="D6" s="132"/>
      <c r="F6" t="s">
        <v>57</v>
      </c>
      <c r="N6" s="132" t="s">
        <v>176</v>
      </c>
      <c r="O6" s="132"/>
      <c r="P6" s="132"/>
      <c r="Q6" s="132"/>
      <c r="S6" t="s">
        <v>57</v>
      </c>
    </row>
    <row r="7" spans="1:21" x14ac:dyDescent="0.3">
      <c r="A7" s="132" t="s">
        <v>380</v>
      </c>
      <c r="B7" s="132"/>
      <c r="C7" s="132"/>
      <c r="D7" s="132"/>
      <c r="E7">
        <v>0</v>
      </c>
      <c r="F7" t="s">
        <v>152</v>
      </c>
      <c r="H7" t="s">
        <v>385</v>
      </c>
      <c r="N7" s="132" t="s">
        <v>380</v>
      </c>
      <c r="O7" s="132"/>
      <c r="P7" s="132"/>
      <c r="Q7" s="132"/>
      <c r="R7">
        <v>0</v>
      </c>
      <c r="S7" t="s">
        <v>152</v>
      </c>
      <c r="U7">
        <v>1.4</v>
      </c>
    </row>
    <row r="8" spans="1:21" x14ac:dyDescent="0.3">
      <c r="A8" s="132" t="s">
        <v>376</v>
      </c>
      <c r="B8" s="132"/>
      <c r="C8" s="132"/>
      <c r="D8" s="132"/>
      <c r="E8" s="132"/>
      <c r="F8" s="132"/>
      <c r="N8" s="132" t="s">
        <v>376</v>
      </c>
      <c r="O8" s="132"/>
      <c r="P8" s="132"/>
      <c r="Q8" s="132"/>
      <c r="R8" s="132"/>
      <c r="S8" s="132"/>
    </row>
    <row r="9" spans="1:21" x14ac:dyDescent="0.3">
      <c r="A9" s="132" t="s">
        <v>377</v>
      </c>
      <c r="B9" s="132"/>
      <c r="C9" s="132"/>
      <c r="D9" s="132"/>
      <c r="E9" s="52">
        <v>50</v>
      </c>
      <c r="F9" t="s">
        <v>16</v>
      </c>
      <c r="N9" s="132" t="s">
        <v>377</v>
      </c>
      <c r="O9" s="132"/>
      <c r="P9" s="132"/>
      <c r="Q9" s="132"/>
      <c r="R9" s="52">
        <v>49</v>
      </c>
      <c r="S9" t="s">
        <v>16</v>
      </c>
    </row>
    <row r="10" spans="1:21" x14ac:dyDescent="0.3">
      <c r="A10" s="132" t="s">
        <v>378</v>
      </c>
      <c r="B10" s="132"/>
      <c r="C10" s="132"/>
      <c r="D10" s="132"/>
      <c r="E10" s="52">
        <v>50</v>
      </c>
      <c r="F10" t="s">
        <v>16</v>
      </c>
      <c r="N10" s="132" t="s">
        <v>378</v>
      </c>
      <c r="O10" s="132"/>
      <c r="P10" s="132"/>
      <c r="Q10" s="132"/>
      <c r="R10" s="52">
        <v>49</v>
      </c>
      <c r="S10" t="s">
        <v>16</v>
      </c>
    </row>
    <row r="11" spans="1:21" x14ac:dyDescent="0.3">
      <c r="A11" s="132" t="s">
        <v>379</v>
      </c>
      <c r="B11" s="132"/>
      <c r="C11" s="132"/>
      <c r="D11" s="132"/>
      <c r="E11" s="52">
        <v>50.5</v>
      </c>
      <c r="F11" t="s">
        <v>16</v>
      </c>
      <c r="N11" s="132" t="s">
        <v>379</v>
      </c>
      <c r="O11" s="132"/>
      <c r="P11" s="132"/>
      <c r="Q11" s="132"/>
      <c r="R11" s="52">
        <v>70</v>
      </c>
      <c r="S11" t="s">
        <v>16</v>
      </c>
    </row>
    <row r="12" spans="1:21" x14ac:dyDescent="0.3">
      <c r="N12" s="132"/>
      <c r="O12" s="132"/>
      <c r="P12" s="132"/>
      <c r="Q12" s="132"/>
      <c r="R12" s="132"/>
      <c r="S12" s="132"/>
    </row>
    <row r="13" spans="1:21" x14ac:dyDescent="0.3">
      <c r="A13" s="132" t="s">
        <v>390</v>
      </c>
      <c r="B13" s="132"/>
      <c r="C13" s="132"/>
      <c r="D13" s="132"/>
      <c r="E13" s="132"/>
      <c r="F13" s="132"/>
      <c r="N13" s="132" t="s">
        <v>390</v>
      </c>
      <c r="O13" s="132"/>
      <c r="P13" s="132"/>
      <c r="Q13" s="132"/>
      <c r="R13" s="132"/>
      <c r="S13" s="132"/>
    </row>
    <row r="14" spans="1:21" x14ac:dyDescent="0.3">
      <c r="A14" s="132" t="s">
        <v>386</v>
      </c>
      <c r="B14" s="132"/>
      <c r="C14" s="132"/>
      <c r="D14" s="132"/>
      <c r="E14">
        <f>$K$3*E10/(E9+E10)</f>
        <v>1008</v>
      </c>
      <c r="F14" t="s">
        <v>152</v>
      </c>
      <c r="N14" s="132" t="s">
        <v>386</v>
      </c>
      <c r="O14" s="132"/>
      <c r="P14" s="132"/>
      <c r="Q14" s="132"/>
      <c r="R14">
        <f>$K$3*R10/(R9+R10)</f>
        <v>1008</v>
      </c>
      <c r="S14" t="s">
        <v>152</v>
      </c>
    </row>
    <row r="15" spans="1:21" x14ac:dyDescent="0.3">
      <c r="A15" s="132" t="s">
        <v>387</v>
      </c>
      <c r="B15" s="132"/>
      <c r="C15" s="132"/>
      <c r="D15" s="132"/>
      <c r="E15">
        <f>E5*E11/(E9+E10)</f>
        <v>352.56524030476618</v>
      </c>
      <c r="F15" t="s">
        <v>152</v>
      </c>
      <c r="N15" s="132" t="s">
        <v>387</v>
      </c>
      <c r="O15" s="132"/>
      <c r="P15" s="132"/>
      <c r="Q15" s="132"/>
      <c r="R15">
        <f>R5*R11/(R9+R10)</f>
        <v>-2015.9999999999998</v>
      </c>
      <c r="S15" t="s">
        <v>152</v>
      </c>
    </row>
    <row r="16" spans="1:21" x14ac:dyDescent="0.3">
      <c r="A16" s="132" t="s">
        <v>388</v>
      </c>
      <c r="B16" s="132"/>
      <c r="C16" s="132"/>
      <c r="D16" s="132"/>
      <c r="E16">
        <f>$K$4*E10/(E9+E10)</f>
        <v>367</v>
      </c>
      <c r="F16" t="s">
        <v>152</v>
      </c>
      <c r="N16" s="132" t="s">
        <v>388</v>
      </c>
      <c r="O16" s="132"/>
      <c r="P16" s="132"/>
      <c r="Q16" s="132"/>
      <c r="R16">
        <f>$K$4*R10/(R9+R10)</f>
        <v>367</v>
      </c>
      <c r="S16" t="s">
        <v>152</v>
      </c>
    </row>
    <row r="17" spans="1:19" x14ac:dyDescent="0.3">
      <c r="A17" s="132" t="s">
        <v>389</v>
      </c>
      <c r="B17" s="132"/>
      <c r="C17" s="132"/>
      <c r="D17" s="132"/>
      <c r="E17">
        <f>E7*E11/(E9+E10)</f>
        <v>0</v>
      </c>
      <c r="F17" t="s">
        <v>152</v>
      </c>
      <c r="N17" s="132" t="s">
        <v>389</v>
      </c>
      <c r="O17" s="132"/>
      <c r="P17" s="132"/>
      <c r="Q17" s="132"/>
      <c r="R17">
        <f>R7*R11/(R9+R10)</f>
        <v>0</v>
      </c>
      <c r="S17" t="s">
        <v>152</v>
      </c>
    </row>
    <row r="18" spans="1:19" x14ac:dyDescent="0.3">
      <c r="A18" s="132" t="s">
        <v>504</v>
      </c>
      <c r="B18" s="132"/>
      <c r="C18" s="132"/>
      <c r="D18" s="132"/>
      <c r="E18">
        <f>SQRT(E14*E14+E16*E16)</f>
        <v>1072.7315600838824</v>
      </c>
      <c r="F18" t="s">
        <v>152</v>
      </c>
      <c r="N18" s="132" t="s">
        <v>392</v>
      </c>
      <c r="O18" s="132"/>
      <c r="P18" s="132"/>
      <c r="Q18" s="132"/>
      <c r="R18">
        <f>R14+R15</f>
        <v>-1007.9999999999998</v>
      </c>
      <c r="S18" t="s">
        <v>152</v>
      </c>
    </row>
    <row r="19" spans="1:19" x14ac:dyDescent="0.3">
      <c r="A19" s="132" t="s">
        <v>505</v>
      </c>
      <c r="B19" s="132"/>
      <c r="C19" s="132"/>
      <c r="D19" s="132"/>
      <c r="E19">
        <f>SQRT(E15*E15+E17*E17)</f>
        <v>352.56524030476618</v>
      </c>
      <c r="F19" t="s">
        <v>152</v>
      </c>
      <c r="N19" s="132" t="s">
        <v>391</v>
      </c>
      <c r="O19" s="132"/>
      <c r="P19" s="132"/>
      <c r="Q19" s="132"/>
      <c r="R19">
        <f>R16+R17</f>
        <v>367</v>
      </c>
      <c r="S19" t="s">
        <v>152</v>
      </c>
    </row>
    <row r="20" spans="1:19" x14ac:dyDescent="0.3">
      <c r="A20" s="132" t="s">
        <v>393</v>
      </c>
      <c r="B20" s="132"/>
      <c r="C20" s="132"/>
      <c r="D20" s="132"/>
      <c r="E20">
        <f>SQRT(E18*E18+E19*E19)</f>
        <v>1129.183443321393</v>
      </c>
      <c r="F20" t="s">
        <v>152</v>
      </c>
      <c r="N20" s="132" t="s">
        <v>393</v>
      </c>
      <c r="O20" s="132"/>
      <c r="P20" s="132"/>
      <c r="Q20" s="132"/>
      <c r="R20">
        <f>SQRT(R18*R18+R19*R19)</f>
        <v>1072.7315600838822</v>
      </c>
      <c r="S20" t="s">
        <v>152</v>
      </c>
    </row>
    <row r="21" spans="1:19" x14ac:dyDescent="0.3">
      <c r="A21" s="132" t="s">
        <v>394</v>
      </c>
      <c r="B21" s="132"/>
      <c r="C21" s="132"/>
      <c r="D21" s="132"/>
      <c r="E21" s="132"/>
      <c r="F21" s="132"/>
      <c r="N21" s="132" t="s">
        <v>394</v>
      </c>
      <c r="O21" s="132"/>
      <c r="P21" s="132"/>
      <c r="Q21" s="132"/>
      <c r="R21" s="132"/>
      <c r="S21" s="132"/>
    </row>
    <row r="22" spans="1:19" x14ac:dyDescent="0.3">
      <c r="A22" s="132" t="s">
        <v>386</v>
      </c>
      <c r="B22" s="132"/>
      <c r="C22" s="132"/>
      <c r="D22" s="132"/>
      <c r="E22">
        <f>$K$3*E9/(E9+E10)</f>
        <v>1008</v>
      </c>
      <c r="F22" t="s">
        <v>152</v>
      </c>
      <c r="N22" s="132" t="s">
        <v>386</v>
      </c>
      <c r="O22" s="132"/>
      <c r="P22" s="132"/>
      <c r="Q22" s="132"/>
      <c r="R22">
        <f>$K$3*R9/(R9+R10)</f>
        <v>1008</v>
      </c>
      <c r="S22" t="s">
        <v>152</v>
      </c>
    </row>
    <row r="23" spans="1:19" x14ac:dyDescent="0.3">
      <c r="A23" s="132" t="s">
        <v>387</v>
      </c>
      <c r="B23" s="132"/>
      <c r="C23" s="132"/>
      <c r="D23" s="132"/>
      <c r="E23">
        <f>E5*(E9+E10+E11)/(E9+E10)</f>
        <v>1050.7142310072734</v>
      </c>
      <c r="F23" t="s">
        <v>152</v>
      </c>
      <c r="N23" s="132" t="s">
        <v>387</v>
      </c>
      <c r="O23" s="132"/>
      <c r="P23" s="132"/>
      <c r="Q23" s="132"/>
      <c r="R23">
        <f>R5*(R9+R10+R11)/(R9+R10)</f>
        <v>-4838.3999999999996</v>
      </c>
      <c r="S23" t="s">
        <v>152</v>
      </c>
    </row>
    <row r="24" spans="1:19" x14ac:dyDescent="0.3">
      <c r="A24" s="132" t="s">
        <v>388</v>
      </c>
      <c r="B24" s="132"/>
      <c r="C24" s="132"/>
      <c r="D24" s="132"/>
      <c r="E24">
        <f>$K$4*E9/(E9+E10)</f>
        <v>367</v>
      </c>
      <c r="F24" t="s">
        <v>152</v>
      </c>
      <c r="N24" s="132" t="s">
        <v>388</v>
      </c>
      <c r="O24" s="132"/>
      <c r="P24" s="132"/>
      <c r="Q24" s="132"/>
      <c r="R24">
        <f>$K$4*R9/(R9+R10)</f>
        <v>367</v>
      </c>
      <c r="S24" t="s">
        <v>152</v>
      </c>
    </row>
    <row r="25" spans="1:19" x14ac:dyDescent="0.3">
      <c r="A25" s="132" t="s">
        <v>389</v>
      </c>
      <c r="B25" s="132"/>
      <c r="C25" s="132"/>
      <c r="D25" s="132"/>
      <c r="E25">
        <f>E7*(E9+E10+E11)/(E9+E10)</f>
        <v>0</v>
      </c>
      <c r="F25" t="s">
        <v>152</v>
      </c>
      <c r="N25" s="132" t="s">
        <v>389</v>
      </c>
      <c r="O25" s="132"/>
      <c r="P25" s="132"/>
      <c r="Q25" s="132"/>
      <c r="R25">
        <f>R7*(R9+R10+R11)/(R9+R10)</f>
        <v>0</v>
      </c>
      <c r="S25" t="s">
        <v>152</v>
      </c>
    </row>
    <row r="26" spans="1:19" x14ac:dyDescent="0.3">
      <c r="A26" s="132" t="s">
        <v>504</v>
      </c>
      <c r="B26" s="132"/>
      <c r="C26" s="132"/>
      <c r="D26" s="132"/>
      <c r="E26">
        <f>SQRT(E22*E22+E24*E24)</f>
        <v>1072.7315600838824</v>
      </c>
      <c r="F26" t="s">
        <v>152</v>
      </c>
      <c r="N26" s="132" t="s">
        <v>392</v>
      </c>
      <c r="O26" s="132"/>
      <c r="P26" s="132"/>
      <c r="Q26" s="132"/>
      <c r="R26">
        <f>R22+R23</f>
        <v>-3830.3999999999996</v>
      </c>
      <c r="S26" t="s">
        <v>152</v>
      </c>
    </row>
    <row r="27" spans="1:19" x14ac:dyDescent="0.3">
      <c r="A27" s="132" t="s">
        <v>505</v>
      </c>
      <c r="B27" s="132"/>
      <c r="C27" s="132"/>
      <c r="D27" s="132"/>
      <c r="E27">
        <f>SQRT(E23*E23+E25*E25)</f>
        <v>1050.7142310072734</v>
      </c>
      <c r="F27" t="s">
        <v>152</v>
      </c>
      <c r="N27" s="132" t="s">
        <v>391</v>
      </c>
      <c r="O27" s="132"/>
      <c r="P27" s="132"/>
      <c r="Q27" s="132"/>
      <c r="R27">
        <f>R24+R25</f>
        <v>367</v>
      </c>
      <c r="S27" t="s">
        <v>152</v>
      </c>
    </row>
    <row r="28" spans="1:19" x14ac:dyDescent="0.3">
      <c r="A28" s="132" t="s">
        <v>393</v>
      </c>
      <c r="B28" s="132"/>
      <c r="C28" s="132"/>
      <c r="D28" s="132"/>
      <c r="E28">
        <f>SQRT(E26*E26+E27*E27)</f>
        <v>1501.5836291200055</v>
      </c>
      <c r="F28" t="s">
        <v>152</v>
      </c>
      <c r="N28" s="132" t="s">
        <v>393</v>
      </c>
      <c r="O28" s="132"/>
      <c r="P28" s="132"/>
      <c r="Q28" s="132"/>
      <c r="R28">
        <f>SQRT(R26*R26+R27*R27)</f>
        <v>3847.941418472999</v>
      </c>
      <c r="S28" t="s">
        <v>152</v>
      </c>
    </row>
    <row r="30" spans="1:19" x14ac:dyDescent="0.3">
      <c r="A30" s="132" t="s">
        <v>399</v>
      </c>
      <c r="B30" s="132"/>
      <c r="C30" s="132"/>
      <c r="D30" s="132"/>
      <c r="E30">
        <f>MAX(E28,E20)</f>
        <v>1501.5836291200055</v>
      </c>
      <c r="F30" t="s">
        <v>152</v>
      </c>
      <c r="N30" s="132" t="s">
        <v>399</v>
      </c>
      <c r="O30" s="132"/>
      <c r="P30" s="132"/>
      <c r="Q30" s="132"/>
      <c r="R30">
        <f>MAX(R28,R20)</f>
        <v>3847.941418472999</v>
      </c>
      <c r="S30" t="s">
        <v>152</v>
      </c>
    </row>
    <row r="31" spans="1:19" x14ac:dyDescent="0.3">
      <c r="A31" s="132" t="s">
        <v>435</v>
      </c>
      <c r="B31" s="132"/>
      <c r="C31" s="132"/>
      <c r="D31" s="132"/>
      <c r="E31">
        <f>K5</f>
        <v>0</v>
      </c>
      <c r="F31" t="s">
        <v>152</v>
      </c>
      <c r="H31" s="132" t="s">
        <v>403</v>
      </c>
      <c r="I31" s="132"/>
      <c r="J31" s="132"/>
      <c r="K31" s="132"/>
      <c r="L31">
        <f>Электродвигатель!$E$5</f>
        <v>10000</v>
      </c>
      <c r="M31" t="s">
        <v>404</v>
      </c>
      <c r="N31" s="132" t="s">
        <v>435</v>
      </c>
      <c r="O31" s="132"/>
      <c r="P31" s="132"/>
      <c r="Q31" s="132"/>
      <c r="R31">
        <f>X5</f>
        <v>0</v>
      </c>
      <c r="S31" t="s">
        <v>152</v>
      </c>
    </row>
    <row r="32" spans="1:19" x14ac:dyDescent="0.3">
      <c r="H32" s="132" t="s">
        <v>396</v>
      </c>
      <c r="I32" s="132"/>
      <c r="J32" s="132"/>
      <c r="K32" s="132"/>
      <c r="L32">
        <f>Электродвигатель!$E$6</f>
        <v>0.9</v>
      </c>
    </row>
    <row r="33" spans="1:19" x14ac:dyDescent="0.3">
      <c r="H33" s="132" t="s">
        <v>397</v>
      </c>
      <c r="I33" s="132"/>
      <c r="J33" s="132"/>
      <c r="K33" s="132"/>
      <c r="L33" s="97">
        <v>3</v>
      </c>
    </row>
    <row r="34" spans="1:19" x14ac:dyDescent="0.3">
      <c r="A34" s="132" t="s">
        <v>395</v>
      </c>
      <c r="B34" s="132"/>
      <c r="C34" s="132"/>
      <c r="D34" s="132"/>
      <c r="H34" s="132" t="s">
        <v>401</v>
      </c>
      <c r="I34" s="132"/>
      <c r="J34" s="132"/>
      <c r="K34" s="132"/>
      <c r="L34" s="97">
        <v>1</v>
      </c>
      <c r="N34" s="132" t="s">
        <v>395</v>
      </c>
      <c r="O34" s="132"/>
      <c r="P34" s="132"/>
      <c r="Q34" s="132"/>
    </row>
    <row r="35" spans="1:19" x14ac:dyDescent="0.3">
      <c r="A35" s="132" t="s">
        <v>398</v>
      </c>
      <c r="B35" s="132"/>
      <c r="C35" s="132"/>
      <c r="D35" s="132"/>
      <c r="E35" s="132"/>
      <c r="H35" s="132" t="s">
        <v>410</v>
      </c>
      <c r="I35" s="132"/>
      <c r="J35" s="132"/>
      <c r="K35" s="132"/>
      <c r="L35" s="97">
        <v>0</v>
      </c>
      <c r="N35" s="132" t="s">
        <v>398</v>
      </c>
      <c r="O35" s="132"/>
      <c r="P35" s="132"/>
      <c r="Q35" s="132"/>
      <c r="R35" s="132"/>
    </row>
    <row r="36" spans="1:19" x14ac:dyDescent="0.3">
      <c r="A36" s="132" t="s">
        <v>431</v>
      </c>
      <c r="B36" s="132"/>
      <c r="C36" s="132"/>
      <c r="D36" s="132"/>
      <c r="E36">
        <f>Вал!$K$24*1000</f>
        <v>17800</v>
      </c>
      <c r="F36" t="s">
        <v>152</v>
      </c>
      <c r="H36" s="132" t="s">
        <v>434</v>
      </c>
      <c r="I36" s="132"/>
      <c r="J36" s="132"/>
      <c r="K36" s="132"/>
      <c r="L36" s="97">
        <v>1</v>
      </c>
      <c r="N36" s="132" t="s">
        <v>431</v>
      </c>
      <c r="O36" s="132"/>
      <c r="P36" s="132"/>
      <c r="Q36" s="132"/>
      <c r="R36">
        <f ca="1">Вал!$S$24*1000</f>
        <v>19800</v>
      </c>
      <c r="S36" t="s">
        <v>152</v>
      </c>
    </row>
    <row r="37" spans="1:19" x14ac:dyDescent="0.3">
      <c r="A37" s="132" t="s">
        <v>400</v>
      </c>
      <c r="B37" s="132"/>
      <c r="C37" s="132"/>
      <c r="D37" s="132"/>
      <c r="E37">
        <f>(E30*$L$34*$L$36+E31*$L$35)*$L$37*$L$38*$L$42</f>
        <v>1513.5962981529658</v>
      </c>
      <c r="F37" t="s">
        <v>152</v>
      </c>
      <c r="H37" s="132" t="s">
        <v>432</v>
      </c>
      <c r="I37" s="132"/>
      <c r="J37" s="132"/>
      <c r="K37" s="132"/>
      <c r="L37" s="52">
        <v>1.6</v>
      </c>
      <c r="N37" s="132" t="s">
        <v>400</v>
      </c>
      <c r="O37" s="132"/>
      <c r="P37" s="132"/>
      <c r="Q37" s="132"/>
      <c r="R37">
        <f>(R30*$L$34*$L$36+R31*$L$35)*$L$37*$L$38*$L$42</f>
        <v>3878.724949820783</v>
      </c>
      <c r="S37" t="s">
        <v>152</v>
      </c>
    </row>
    <row r="38" spans="1:19" x14ac:dyDescent="0.3">
      <c r="H38" s="132" t="s">
        <v>424</v>
      </c>
      <c r="I38" s="132"/>
      <c r="J38" s="132"/>
      <c r="K38" s="132"/>
      <c r="L38" s="52">
        <v>1</v>
      </c>
    </row>
    <row r="39" spans="1:19" x14ac:dyDescent="0.3">
      <c r="A39" s="132" t="s">
        <v>402</v>
      </c>
      <c r="B39" s="132"/>
      <c r="C39" s="132"/>
      <c r="D39" s="132"/>
      <c r="E39" s="132"/>
      <c r="H39" s="132" t="s">
        <v>433</v>
      </c>
      <c r="I39" s="132"/>
      <c r="J39" s="132"/>
      <c r="K39" s="132"/>
      <c r="L39" s="97">
        <v>1</v>
      </c>
      <c r="N39" s="132" t="s">
        <v>402</v>
      </c>
      <c r="O39" s="132"/>
      <c r="P39" s="132"/>
      <c r="Q39" s="132"/>
      <c r="R39" s="132"/>
    </row>
    <row r="40" spans="1:19" x14ac:dyDescent="0.3">
      <c r="A40" s="132" t="s">
        <v>430</v>
      </c>
      <c r="B40" s="132"/>
      <c r="C40" s="132"/>
      <c r="D40" s="132"/>
      <c r="E40" s="88">
        <f>Вал!$K$23*1000</f>
        <v>32000</v>
      </c>
      <c r="F40" t="s">
        <v>152</v>
      </c>
      <c r="H40" s="132" t="s">
        <v>412</v>
      </c>
      <c r="I40" s="132"/>
      <c r="J40" s="132"/>
      <c r="K40" s="132"/>
      <c r="L40">
        <f>Корпус!E30</f>
        <v>22</v>
      </c>
      <c r="N40" s="132" t="s">
        <v>430</v>
      </c>
      <c r="O40" s="132"/>
      <c r="P40" s="132"/>
      <c r="Q40" s="132"/>
      <c r="R40" s="88">
        <f ca="1">Вал!$S$23*1000</f>
        <v>35100</v>
      </c>
      <c r="S40" t="s">
        <v>152</v>
      </c>
    </row>
    <row r="41" spans="1:19" x14ac:dyDescent="0.3">
      <c r="A41" s="132" t="s">
        <v>405</v>
      </c>
      <c r="B41" s="132"/>
      <c r="C41" s="132"/>
      <c r="D41" s="132"/>
      <c r="E41" s="132" t="b">
        <f>E30&lt;(E40/2)</f>
        <v>1</v>
      </c>
      <c r="F41" s="132"/>
      <c r="H41" s="132" t="s">
        <v>422</v>
      </c>
      <c r="I41" s="132"/>
      <c r="J41" s="132"/>
      <c r="K41" s="132"/>
      <c r="L41">
        <f>Электродвигатель!$E$7</f>
        <v>3</v>
      </c>
      <c r="N41" s="132" t="s">
        <v>405</v>
      </c>
      <c r="O41" s="132"/>
      <c r="P41" s="132"/>
      <c r="Q41" s="132"/>
      <c r="R41" s="132" t="b">
        <f ca="1">R30&lt;(R40/2)</f>
        <v>1</v>
      </c>
      <c r="S41" s="132"/>
    </row>
    <row r="42" spans="1:19" x14ac:dyDescent="0.3">
      <c r="A42" s="132" t="s">
        <v>406</v>
      </c>
      <c r="B42" s="132"/>
      <c r="C42" s="132"/>
      <c r="D42" s="132"/>
      <c r="E42" s="132" t="b">
        <f>E30&gt;E41*0.01</f>
        <v>1</v>
      </c>
      <c r="F42" s="132"/>
      <c r="H42" s="132" t="s">
        <v>421</v>
      </c>
      <c r="I42" s="132"/>
      <c r="J42" s="132"/>
      <c r="K42" s="132"/>
      <c r="L42" s="52">
        <v>0.63</v>
      </c>
      <c r="N42" s="132" t="s">
        <v>406</v>
      </c>
      <c r="O42" s="132"/>
      <c r="P42" s="132"/>
      <c r="Q42" s="132"/>
      <c r="R42" s="132" t="b">
        <f ca="1">R30&gt;R41*0.01</f>
        <v>1</v>
      </c>
      <c r="S42" s="132"/>
    </row>
    <row r="44" spans="1:19" x14ac:dyDescent="0.3">
      <c r="A44" s="132" t="s">
        <v>411</v>
      </c>
      <c r="B44" s="132"/>
      <c r="C44" s="132"/>
      <c r="D44" s="132"/>
      <c r="E44">
        <f>(Вал!K16+Вал!K21)/2</f>
        <v>60</v>
      </c>
      <c r="F44" t="s">
        <v>16</v>
      </c>
      <c r="N44" s="132" t="s">
        <v>411</v>
      </c>
      <c r="O44" s="132"/>
      <c r="P44" s="132"/>
      <c r="Q44" s="132"/>
      <c r="R44">
        <f ca="1">(Вал!S15+Вал!S21)/2</f>
        <v>70</v>
      </c>
      <c r="S44" t="s">
        <v>16</v>
      </c>
    </row>
    <row r="45" spans="1:19" x14ac:dyDescent="0.3">
      <c r="A45" s="132" t="s">
        <v>413</v>
      </c>
      <c r="B45" s="132"/>
      <c r="C45" s="132"/>
      <c r="D45" s="132"/>
      <c r="E45">
        <f>IF(E3&gt;1000,4500*E3^(-0.5)*E44^(-0.5),45000*E3^(-0.83)*E44^(-0.5))</f>
        <v>15.309310892394862</v>
      </c>
      <c r="F45" t="s">
        <v>317</v>
      </c>
      <c r="N45" s="132" t="s">
        <v>413</v>
      </c>
      <c r="O45" s="132"/>
      <c r="P45" s="132"/>
      <c r="Q45" s="132"/>
      <c r="R45">
        <f ca="1">IF(R3&gt;1000,4500*R3^(-0.5)*R44^(-0.5),45000*R3^(-0.83)*R44^(-0.5))</f>
        <v>41.619609536346466</v>
      </c>
      <c r="S45" t="s">
        <v>317</v>
      </c>
    </row>
    <row r="46" spans="1:19" x14ac:dyDescent="0.3">
      <c r="A46" s="132" t="s">
        <v>415</v>
      </c>
      <c r="B46" s="132"/>
      <c r="C46" s="132"/>
      <c r="D46" s="132"/>
      <c r="E46">
        <f>MAX(MIN(4,$L$40/E45),0.1)</f>
        <v>1.437033982432798</v>
      </c>
      <c r="F46" t="s">
        <v>57</v>
      </c>
      <c r="N46" s="132" t="s">
        <v>415</v>
      </c>
      <c r="O46" s="132"/>
      <c r="P46" s="132"/>
      <c r="Q46" s="132"/>
      <c r="R46">
        <f ca="1">MAX(MIN(4,$L$40/R45),0.1)</f>
        <v>0.52859698216984397</v>
      </c>
      <c r="S46" t="s">
        <v>57</v>
      </c>
    </row>
    <row r="48" spans="1:19" x14ac:dyDescent="0.3">
      <c r="A48" s="132" t="s">
        <v>416</v>
      </c>
      <c r="B48" s="132"/>
      <c r="C48" s="132"/>
      <c r="D48" s="132"/>
      <c r="E48" s="52">
        <v>0.4</v>
      </c>
      <c r="F48" t="s">
        <v>57</v>
      </c>
      <c r="N48" s="132" t="s">
        <v>416</v>
      </c>
      <c r="O48" s="132"/>
      <c r="P48" s="132"/>
      <c r="Q48" s="132"/>
      <c r="R48" s="52">
        <v>0.4</v>
      </c>
      <c r="S48" t="s">
        <v>57</v>
      </c>
    </row>
    <row r="49" spans="1:20" x14ac:dyDescent="0.3">
      <c r="A49" s="132" t="s">
        <v>414</v>
      </c>
      <c r="B49" s="132"/>
      <c r="C49" s="132"/>
      <c r="D49" s="132"/>
      <c r="E49" s="97">
        <f>E40/22</f>
        <v>1454.5454545454545</v>
      </c>
      <c r="F49" t="s">
        <v>152</v>
      </c>
      <c r="N49" s="132" t="s">
        <v>414</v>
      </c>
      <c r="O49" s="132"/>
      <c r="P49" s="132"/>
      <c r="Q49" s="132"/>
      <c r="R49" s="97">
        <f ca="1">R40/22</f>
        <v>1595.4545454545455</v>
      </c>
      <c r="S49" t="s">
        <v>152</v>
      </c>
    </row>
    <row r="51" spans="1:20" x14ac:dyDescent="0.3">
      <c r="A51" t="s">
        <v>193</v>
      </c>
      <c r="B51" t="s">
        <v>327</v>
      </c>
      <c r="C51" t="s">
        <v>417</v>
      </c>
      <c r="D51" t="s">
        <v>423</v>
      </c>
      <c r="E51" t="s">
        <v>418</v>
      </c>
      <c r="F51" t="s">
        <v>420</v>
      </c>
      <c r="G51" t="s">
        <v>419</v>
      </c>
      <c r="N51" t="s">
        <v>193</v>
      </c>
      <c r="O51" t="s">
        <v>327</v>
      </c>
      <c r="P51" t="s">
        <v>417</v>
      </c>
      <c r="Q51" t="s">
        <v>423</v>
      </c>
      <c r="R51" t="s">
        <v>418</v>
      </c>
      <c r="S51" t="s">
        <v>420</v>
      </c>
      <c r="T51" t="s">
        <v>419</v>
      </c>
    </row>
    <row r="52" spans="1:20" x14ac:dyDescent="0.3">
      <c r="A52" s="97">
        <v>2.5670999999999999</v>
      </c>
      <c r="B52" s="97">
        <v>1.9986999999999999</v>
      </c>
      <c r="C52" s="97">
        <v>7.1738999999999997E-2</v>
      </c>
      <c r="D52" s="97">
        <f>1/3</f>
        <v>0.33333333333333331</v>
      </c>
      <c r="E52" s="97">
        <v>0.83</v>
      </c>
      <c r="F52" s="97">
        <v>1</v>
      </c>
      <c r="G52" s="97">
        <v>9.3000000000000007</v>
      </c>
      <c r="N52" s="97">
        <v>2.5670999999999999</v>
      </c>
      <c r="O52" s="97">
        <v>1.9986999999999999</v>
      </c>
      <c r="P52" s="97">
        <v>7.1738999999999997E-2</v>
      </c>
      <c r="Q52" s="97">
        <f>1/3</f>
        <v>0.33333333333333331</v>
      </c>
      <c r="R52" s="97">
        <v>0.83</v>
      </c>
      <c r="S52" s="97">
        <v>1</v>
      </c>
      <c r="T52" s="97">
        <v>9.3000000000000007</v>
      </c>
    </row>
    <row r="54" spans="1:20" x14ac:dyDescent="0.3">
      <c r="A54" s="132" t="s">
        <v>407</v>
      </c>
      <c r="B54" s="132"/>
      <c r="C54" s="132"/>
      <c r="D54" s="132"/>
      <c r="E54">
        <f>MIN(0.3*(1-(A52-B52/E46^C52)^E52*(E48*E49/F52/E37)^D52)^(-G52),50)</f>
        <v>50</v>
      </c>
      <c r="F54" t="s">
        <v>57</v>
      </c>
      <c r="N54" s="132" t="s">
        <v>407</v>
      </c>
      <c r="O54" s="132"/>
      <c r="P54" s="132"/>
      <c r="Q54" s="132"/>
      <c r="R54">
        <f ca="1">MIN(0.3*(1-(N52-O52/R46^P52)^R52*(R48*R49/S52/R37)^Q52)^(-T52),50)</f>
        <v>7.7775887136434854</v>
      </c>
      <c r="S54" t="s">
        <v>57</v>
      </c>
    </row>
    <row r="55" spans="1:20" x14ac:dyDescent="0.3">
      <c r="A55" s="132" t="s">
        <v>137</v>
      </c>
      <c r="B55" s="132"/>
      <c r="C55" s="132"/>
      <c r="D55" s="132"/>
      <c r="E55" s="132">
        <f>$L$39*E54*(E40/E37)^$L$33*10^6/60/E3</f>
        <v>5468598.3380485382</v>
      </c>
      <c r="F55" s="132"/>
      <c r="G55" t="s">
        <v>404</v>
      </c>
      <c r="N55" s="132" t="s">
        <v>137</v>
      </c>
      <c r="O55" s="132"/>
      <c r="P55" s="132"/>
      <c r="Q55" s="132"/>
      <c r="R55" s="132">
        <f ca="1">$L$39*R54*(R40/R37)^$L$33*10^6/60/R3</f>
        <v>274621.33564960217</v>
      </c>
      <c r="S55" s="132"/>
      <c r="T55" t="s">
        <v>404</v>
      </c>
    </row>
    <row r="56" spans="1:20" x14ac:dyDescent="0.3">
      <c r="A56" s="132" t="s">
        <v>409</v>
      </c>
      <c r="B56" s="132"/>
      <c r="C56" s="132"/>
      <c r="D56" s="132"/>
      <c r="E56" s="132" t="b">
        <f>E55&gt;$L$31</f>
        <v>1</v>
      </c>
      <c r="F56" s="132"/>
      <c r="N56" s="132" t="s">
        <v>409</v>
      </c>
      <c r="O56" s="132"/>
      <c r="P56" s="132"/>
      <c r="Q56" s="132"/>
      <c r="R56" s="132" t="b">
        <f ca="1">R55&gt;$L$31</f>
        <v>1</v>
      </c>
      <c r="S56" s="132"/>
    </row>
    <row r="57" spans="1:20" x14ac:dyDescent="0.3">
      <c r="A57" s="132" t="s">
        <v>164</v>
      </c>
      <c r="B57" s="132"/>
      <c r="C57" s="132"/>
      <c r="D57" s="132"/>
      <c r="E57" s="166" t="b">
        <f>AND(E41,E42,E56)</f>
        <v>1</v>
      </c>
      <c r="F57" s="166"/>
      <c r="N57" s="132" t="s">
        <v>164</v>
      </c>
      <c r="O57" s="132"/>
      <c r="P57" s="132"/>
      <c r="Q57" s="132"/>
      <c r="R57" s="166" t="b">
        <f ca="1">AND(R41,R42,R56)</f>
        <v>1</v>
      </c>
      <c r="S57" s="166"/>
    </row>
  </sheetData>
  <mergeCells count="118">
    <mergeCell ref="A5:D5"/>
    <mergeCell ref="A1:F1"/>
    <mergeCell ref="N2:S2"/>
    <mergeCell ref="A2:D2"/>
    <mergeCell ref="A4:D4"/>
    <mergeCell ref="N3:Q3"/>
    <mergeCell ref="H2:L2"/>
    <mergeCell ref="H3:J3"/>
    <mergeCell ref="N4:Q4"/>
    <mergeCell ref="H4:J4"/>
    <mergeCell ref="H5:J5"/>
    <mergeCell ref="N5:Q5"/>
    <mergeCell ref="A3:D3"/>
    <mergeCell ref="A19:D19"/>
    <mergeCell ref="A18:D18"/>
    <mergeCell ref="N25:Q25"/>
    <mergeCell ref="N26:Q26"/>
    <mergeCell ref="N7:Q7"/>
    <mergeCell ref="A7:D7"/>
    <mergeCell ref="N6:Q6"/>
    <mergeCell ref="A6:D6"/>
    <mergeCell ref="A8:F8"/>
    <mergeCell ref="N8:S8"/>
    <mergeCell ref="N9:Q9"/>
    <mergeCell ref="N10:Q10"/>
    <mergeCell ref="N11:Q11"/>
    <mergeCell ref="A9:D9"/>
    <mergeCell ref="A10:D10"/>
    <mergeCell ref="A11:D11"/>
    <mergeCell ref="N12:S12"/>
    <mergeCell ref="N14:Q14"/>
    <mergeCell ref="N15:Q15"/>
    <mergeCell ref="N16:Q16"/>
    <mergeCell ref="N17:Q17"/>
    <mergeCell ref="N18:Q18"/>
    <mergeCell ref="N19:Q19"/>
    <mergeCell ref="N22:Q22"/>
    <mergeCell ref="N23:Q23"/>
    <mergeCell ref="N13:S13"/>
    <mergeCell ref="H34:K34"/>
    <mergeCell ref="A34:D34"/>
    <mergeCell ref="H39:K39"/>
    <mergeCell ref="H32:K32"/>
    <mergeCell ref="H36:K36"/>
    <mergeCell ref="A31:D31"/>
    <mergeCell ref="N27:Q27"/>
    <mergeCell ref="A26:D26"/>
    <mergeCell ref="A27:D27"/>
    <mergeCell ref="A28:D28"/>
    <mergeCell ref="A30:D30"/>
    <mergeCell ref="N20:Q20"/>
    <mergeCell ref="N21:S21"/>
    <mergeCell ref="N28:Q28"/>
    <mergeCell ref="N30:Q30"/>
    <mergeCell ref="N37:Q37"/>
    <mergeCell ref="N39:R39"/>
    <mergeCell ref="N24:Q24"/>
    <mergeCell ref="A20:D20"/>
    <mergeCell ref="A13:F13"/>
    <mergeCell ref="A14:D14"/>
    <mergeCell ref="A15:D15"/>
    <mergeCell ref="A57:D57"/>
    <mergeCell ref="E57:F57"/>
    <mergeCell ref="E41:F41"/>
    <mergeCell ref="E42:F42"/>
    <mergeCell ref="A55:D55"/>
    <mergeCell ref="H35:K35"/>
    <mergeCell ref="A39:E39"/>
    <mergeCell ref="H31:K31"/>
    <mergeCell ref="A40:D40"/>
    <mergeCell ref="A41:D41"/>
    <mergeCell ref="H40:K40"/>
    <mergeCell ref="H42:K42"/>
    <mergeCell ref="H41:K41"/>
    <mergeCell ref="H37:K37"/>
    <mergeCell ref="H38:K38"/>
    <mergeCell ref="H33:K33"/>
    <mergeCell ref="A35:E35"/>
    <mergeCell ref="A56:D56"/>
    <mergeCell ref="E56:F56"/>
    <mergeCell ref="A54:D54"/>
    <mergeCell ref="A45:D45"/>
    <mergeCell ref="A46:D46"/>
    <mergeCell ref="A44:D44"/>
    <mergeCell ref="A48:D48"/>
    <mergeCell ref="A36:D36"/>
    <mergeCell ref="E55:F55"/>
    <mergeCell ref="A42:D42"/>
    <mergeCell ref="A37:D37"/>
    <mergeCell ref="A21:F21"/>
    <mergeCell ref="A22:D22"/>
    <mergeCell ref="A23:D23"/>
    <mergeCell ref="A24:D24"/>
    <mergeCell ref="A25:D25"/>
    <mergeCell ref="A16:D16"/>
    <mergeCell ref="A17:D17"/>
    <mergeCell ref="N57:Q57"/>
    <mergeCell ref="R57:S57"/>
    <mergeCell ref="N31:Q31"/>
    <mergeCell ref="N54:Q54"/>
    <mergeCell ref="N55:Q55"/>
    <mergeCell ref="R55:S55"/>
    <mergeCell ref="N56:Q56"/>
    <mergeCell ref="R56:S56"/>
    <mergeCell ref="N44:Q44"/>
    <mergeCell ref="N45:Q45"/>
    <mergeCell ref="N48:Q48"/>
    <mergeCell ref="N46:Q46"/>
    <mergeCell ref="N49:Q49"/>
    <mergeCell ref="N40:Q40"/>
    <mergeCell ref="N41:Q41"/>
    <mergeCell ref="R41:S41"/>
    <mergeCell ref="N42:Q42"/>
    <mergeCell ref="R42:S42"/>
    <mergeCell ref="N36:Q36"/>
    <mergeCell ref="N34:Q34"/>
    <mergeCell ref="N35:R35"/>
    <mergeCell ref="A49:D49"/>
  </mergeCells>
  <phoneticPr fontId="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33"/>
  <sheetViews>
    <sheetView workbookViewId="0">
      <selection activeCell="K26" sqref="K26"/>
    </sheetView>
  </sheetViews>
  <sheetFormatPr defaultRowHeight="14.4" x14ac:dyDescent="0.3"/>
  <cols>
    <col min="1" max="12" width="6.77734375" customWidth="1"/>
  </cols>
  <sheetData>
    <row r="2" spans="1:6" x14ac:dyDescent="0.3">
      <c r="A2" s="132" t="s">
        <v>139</v>
      </c>
      <c r="B2" s="132"/>
      <c r="C2" s="132"/>
      <c r="D2" s="132"/>
      <c r="E2">
        <f>Передача!$D$46</f>
        <v>180</v>
      </c>
      <c r="F2" t="s">
        <v>16</v>
      </c>
    </row>
    <row r="3" spans="1:6" x14ac:dyDescent="0.3">
      <c r="A3" s="132" t="s">
        <v>195</v>
      </c>
      <c r="B3" s="132"/>
      <c r="C3" s="132"/>
      <c r="D3" s="132"/>
      <c r="E3">
        <f>Передача!$D$55</f>
        <v>37.75</v>
      </c>
      <c r="F3" t="s">
        <v>16</v>
      </c>
    </row>
    <row r="4" spans="1:6" x14ac:dyDescent="0.3">
      <c r="A4" s="132" t="s">
        <v>170</v>
      </c>
      <c r="B4" s="132"/>
      <c r="C4" s="132"/>
      <c r="D4" s="132"/>
      <c r="E4">
        <f>Передача!$D$56</f>
        <v>62</v>
      </c>
      <c r="F4" t="s">
        <v>16</v>
      </c>
    </row>
    <row r="5" spans="1:6" x14ac:dyDescent="0.3">
      <c r="A5" s="132" t="s">
        <v>196</v>
      </c>
      <c r="B5" s="132"/>
      <c r="C5" s="132"/>
      <c r="D5" s="132"/>
      <c r="E5">
        <f>Передача!$D$60</f>
        <v>309.75</v>
      </c>
      <c r="F5" t="s">
        <v>16</v>
      </c>
    </row>
    <row r="6" spans="1:6" x14ac:dyDescent="0.3">
      <c r="A6" s="132" t="s">
        <v>171</v>
      </c>
      <c r="B6" s="132"/>
      <c r="C6" s="132"/>
      <c r="D6" s="132"/>
      <c r="E6">
        <f>Передача!$D$61</f>
        <v>57</v>
      </c>
      <c r="F6" t="s">
        <v>16</v>
      </c>
    </row>
    <row r="7" spans="1:6" x14ac:dyDescent="0.3">
      <c r="A7" s="132" t="s">
        <v>194</v>
      </c>
      <c r="B7" s="132"/>
      <c r="C7" s="132"/>
      <c r="D7" s="132"/>
      <c r="E7">
        <f>E2+E3/2+E5/2</f>
        <v>353.75</v>
      </c>
      <c r="F7" t="s">
        <v>16</v>
      </c>
    </row>
    <row r="8" spans="1:6" x14ac:dyDescent="0.3">
      <c r="A8" s="132" t="s">
        <v>193</v>
      </c>
      <c r="B8" s="132"/>
      <c r="C8" s="132"/>
      <c r="D8" s="132"/>
      <c r="E8">
        <f>E7^(1/3)+3</f>
        <v>10.072378298355165</v>
      </c>
      <c r="F8" t="s">
        <v>16</v>
      </c>
    </row>
    <row r="9" spans="1:6" x14ac:dyDescent="0.3">
      <c r="A9" s="132" t="s">
        <v>197</v>
      </c>
      <c r="B9" s="132"/>
      <c r="C9" s="132"/>
      <c r="D9" s="132"/>
      <c r="E9">
        <f>E8*3</f>
        <v>30.217134895065495</v>
      </c>
      <c r="F9" t="s">
        <v>16</v>
      </c>
    </row>
    <row r="10" spans="1:6" x14ac:dyDescent="0.3">
      <c r="A10" s="132"/>
      <c r="B10" s="132"/>
      <c r="C10" s="132"/>
      <c r="D10" s="132"/>
      <c r="E10" s="88"/>
    </row>
    <row r="11" spans="1:6" x14ac:dyDescent="0.3">
      <c r="A11" s="132"/>
      <c r="B11" s="132"/>
      <c r="C11" s="132"/>
      <c r="D11" s="132"/>
      <c r="E11" s="88"/>
    </row>
    <row r="12" spans="1:6" x14ac:dyDescent="0.3">
      <c r="A12" s="132" t="s">
        <v>199</v>
      </c>
      <c r="B12" s="132"/>
      <c r="C12" s="132"/>
      <c r="D12" s="132"/>
      <c r="E12" s="132"/>
      <c r="F12" s="132"/>
    </row>
    <row r="13" spans="1:6" x14ac:dyDescent="0.3">
      <c r="A13" s="132" t="s">
        <v>198</v>
      </c>
      <c r="B13" s="132"/>
      <c r="C13" s="132"/>
      <c r="D13" s="132"/>
      <c r="E13">
        <f>E7+2*E8</f>
        <v>373.89475659671035</v>
      </c>
      <c r="F13" t="s">
        <v>16</v>
      </c>
    </row>
    <row r="14" spans="1:6" x14ac:dyDescent="0.3">
      <c r="A14" s="132" t="s">
        <v>158</v>
      </c>
      <c r="B14" s="132"/>
      <c r="C14" s="132"/>
      <c r="D14" s="132"/>
      <c r="E14">
        <f>E4+2*E8</f>
        <v>82.144756596710323</v>
      </c>
      <c r="F14" t="s">
        <v>16</v>
      </c>
    </row>
    <row r="15" spans="1:6" x14ac:dyDescent="0.3">
      <c r="A15" s="132" t="s">
        <v>19</v>
      </c>
      <c r="B15" s="132"/>
      <c r="C15" s="132"/>
      <c r="D15" s="132"/>
      <c r="E15">
        <f>E5+E8+E9</f>
        <v>350.03951319342065</v>
      </c>
      <c r="F15" t="s">
        <v>16</v>
      </c>
    </row>
    <row r="17" spans="1:23" x14ac:dyDescent="0.3">
      <c r="A17" s="132" t="s">
        <v>436</v>
      </c>
      <c r="B17" s="132"/>
      <c r="C17" s="132"/>
      <c r="D17" s="132"/>
      <c r="E17">
        <f>(E13*2+E14+E15)/3/1000</f>
        <v>0.39332459432785055</v>
      </c>
      <c r="F17" t="s">
        <v>437</v>
      </c>
    </row>
    <row r="18" spans="1:23" x14ac:dyDescent="0.3">
      <c r="A18" s="132" t="s">
        <v>438</v>
      </c>
      <c r="B18" s="132"/>
      <c r="C18" s="132"/>
      <c r="D18" s="132"/>
      <c r="E18">
        <f ca="1">Электродвигатель!P55</f>
        <v>349.79520039605768</v>
      </c>
      <c r="F18" t="s">
        <v>99</v>
      </c>
    </row>
    <row r="19" spans="1:23" x14ac:dyDescent="0.3">
      <c r="A19" s="132" t="s">
        <v>439</v>
      </c>
      <c r="B19" s="132"/>
      <c r="C19" s="132"/>
      <c r="D19" s="132"/>
      <c r="E19">
        <f ca="1">MAX(1.3*E18^0.25,6)</f>
        <v>6</v>
      </c>
      <c r="F19" t="s">
        <v>16</v>
      </c>
    </row>
    <row r="20" spans="1:23" x14ac:dyDescent="0.3">
      <c r="A20" s="132" t="s">
        <v>440</v>
      </c>
      <c r="B20" s="132"/>
      <c r="C20" s="132"/>
      <c r="D20" s="132"/>
      <c r="E20">
        <f ca="1">ROUNDUP( E19*0.7,1)</f>
        <v>4.2</v>
      </c>
      <c r="F20" t="s">
        <v>16</v>
      </c>
      <c r="R20" s="1"/>
      <c r="S20" s="90"/>
      <c r="T20" s="48"/>
      <c r="U20" s="48"/>
      <c r="V20" s="16"/>
      <c r="W20" s="16"/>
    </row>
    <row r="21" spans="1:23" x14ac:dyDescent="0.3">
      <c r="A21" s="132" t="s">
        <v>342</v>
      </c>
      <c r="B21" s="132"/>
      <c r="C21" s="132"/>
      <c r="D21" s="132"/>
      <c r="E21" s="132"/>
      <c r="F21" s="132"/>
      <c r="G21" t="s">
        <v>100</v>
      </c>
      <c r="R21" s="66"/>
      <c r="S21" s="66"/>
      <c r="T21" s="16"/>
      <c r="U21" s="16"/>
      <c r="V21" s="16"/>
      <c r="W21" s="16"/>
    </row>
    <row r="22" spans="1:23" x14ac:dyDescent="0.3">
      <c r="A22" s="132" t="s">
        <v>441</v>
      </c>
      <c r="B22" s="132"/>
      <c r="C22" s="132"/>
      <c r="D22" s="132"/>
      <c r="E22">
        <f ca="1">Вал!$S$21*1.25+10</f>
        <v>122.5</v>
      </c>
      <c r="F22" t="s">
        <v>16</v>
      </c>
      <c r="R22" s="66"/>
      <c r="S22" s="66"/>
      <c r="T22" s="16"/>
      <c r="U22" s="16"/>
      <c r="V22" s="62"/>
      <c r="W22" s="62"/>
    </row>
    <row r="23" spans="1:23" x14ac:dyDescent="0.3">
      <c r="A23" s="132" t="s">
        <v>442</v>
      </c>
      <c r="B23" s="132"/>
      <c r="C23" s="132"/>
      <c r="D23" s="132"/>
      <c r="E23">
        <f>Вал!$K$21*1.25+10</f>
        <v>110</v>
      </c>
      <c r="F23" t="s">
        <v>16</v>
      </c>
    </row>
    <row r="24" spans="1:23" x14ac:dyDescent="0.3">
      <c r="A24" s="132" t="s">
        <v>443</v>
      </c>
      <c r="B24" s="132"/>
      <c r="C24" s="132"/>
      <c r="D24" s="132"/>
      <c r="E24">
        <f ca="1">MAX(1.25*E18^(1/3),10)</f>
        <v>10</v>
      </c>
      <c r="F24" t="s">
        <v>16</v>
      </c>
    </row>
    <row r="26" spans="1:23" x14ac:dyDescent="0.3">
      <c r="A26" s="132" t="s">
        <v>315</v>
      </c>
      <c r="B26" s="132"/>
      <c r="C26" s="132"/>
      <c r="D26" s="132"/>
      <c r="E26" s="132"/>
      <c r="F26" s="132"/>
    </row>
    <row r="27" spans="1:23" x14ac:dyDescent="0.3">
      <c r="A27" s="132" t="s">
        <v>312</v>
      </c>
      <c r="B27" s="132"/>
      <c r="C27" s="132"/>
      <c r="D27" s="132"/>
      <c r="E27">
        <f>Вал!$K$4*PI()/30</f>
        <v>150.79644737231007</v>
      </c>
      <c r="F27" t="s">
        <v>311</v>
      </c>
    </row>
    <row r="28" spans="1:23" x14ac:dyDescent="0.3">
      <c r="A28" s="132" t="s">
        <v>313</v>
      </c>
      <c r="B28" s="132"/>
      <c r="C28" s="132"/>
      <c r="D28" s="132"/>
      <c r="E28">
        <f>Корпус!$E$27*MAX(Вал!$K$22,Вал!$K$7)/1000</f>
        <v>7.3890259212431939</v>
      </c>
      <c r="F28" t="s">
        <v>5</v>
      </c>
    </row>
    <row r="29" spans="1:23" x14ac:dyDescent="0.3">
      <c r="A29" s="132" t="s">
        <v>316</v>
      </c>
      <c r="B29" s="132"/>
      <c r="C29" s="132"/>
      <c r="D29" s="132"/>
      <c r="E29" s="52">
        <v>504</v>
      </c>
      <c r="F29" t="s">
        <v>223</v>
      </c>
    </row>
    <row r="30" spans="1:23" x14ac:dyDescent="0.3">
      <c r="A30" s="132" t="s">
        <v>318</v>
      </c>
      <c r="B30" s="132"/>
      <c r="C30" s="132"/>
      <c r="D30" s="132"/>
      <c r="E30" s="52">
        <v>22</v>
      </c>
      <c r="F30" t="s">
        <v>317</v>
      </c>
    </row>
    <row r="31" spans="1:23" x14ac:dyDescent="0.3">
      <c r="A31" s="132" t="s">
        <v>319</v>
      </c>
      <c r="B31" s="132"/>
      <c r="C31" s="132"/>
      <c r="D31" s="132"/>
      <c r="E31" t="s">
        <v>320</v>
      </c>
      <c r="F31" s="101" t="s">
        <v>456</v>
      </c>
      <c r="G31" t="s">
        <v>457</v>
      </c>
    </row>
    <row r="32" spans="1:23" x14ac:dyDescent="0.3">
      <c r="A32" s="132" t="s">
        <v>321</v>
      </c>
      <c r="B32" s="132"/>
      <c r="C32" s="132"/>
      <c r="D32" s="132"/>
      <c r="E32">
        <f>MAX(4*Передача!$D$47,10)</f>
        <v>10</v>
      </c>
      <c r="F32">
        <f>MAX(Передача!$D$58/4,10)</f>
        <v>79.375</v>
      </c>
      <c r="G32" t="s">
        <v>16</v>
      </c>
    </row>
    <row r="33" spans="5:6" x14ac:dyDescent="0.3">
      <c r="E33">
        <f>E32+E9</f>
        <v>40.217134895065499</v>
      </c>
      <c r="F33">
        <f>F32+E9</f>
        <v>109.5921348950655</v>
      </c>
    </row>
  </sheetData>
  <mergeCells count="30">
    <mergeCell ref="E21:F21"/>
    <mergeCell ref="A22:D22"/>
    <mergeCell ref="A23:D23"/>
    <mergeCell ref="A24:D24"/>
    <mergeCell ref="A17:D17"/>
    <mergeCell ref="A19:D19"/>
    <mergeCell ref="A18:D18"/>
    <mergeCell ref="A20:D20"/>
    <mergeCell ref="A21:D21"/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A32:D32"/>
    <mergeCell ref="A27:D27"/>
    <mergeCell ref="A28:D28"/>
    <mergeCell ref="A26:F26"/>
    <mergeCell ref="A29:D29"/>
    <mergeCell ref="A30:D30"/>
    <mergeCell ref="A31:D31"/>
  </mergeCells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798A-CCB3-4606-8613-73DD636FD4B6}">
  <dimension ref="A1:U58"/>
  <sheetViews>
    <sheetView tabSelected="1" workbookViewId="0">
      <selection activeCell="U17" sqref="U17"/>
    </sheetView>
  </sheetViews>
  <sheetFormatPr defaultRowHeight="14.4" x14ac:dyDescent="0.3"/>
  <sheetData>
    <row r="1" spans="1:21" x14ac:dyDescent="0.3">
      <c r="A1" t="s">
        <v>458</v>
      </c>
      <c r="C1">
        <f ca="1">Электродвигатель!P58</f>
        <v>339.37130342425513</v>
      </c>
      <c r="D1" t="s">
        <v>99</v>
      </c>
    </row>
    <row r="2" spans="1:21" x14ac:dyDescent="0.3">
      <c r="A2" s="16" t="s">
        <v>70</v>
      </c>
      <c r="C2" s="60">
        <f>Вал!S4</f>
        <v>190.98593171027443</v>
      </c>
      <c r="D2" t="s">
        <v>104</v>
      </c>
      <c r="O2" s="132" t="s">
        <v>95</v>
      </c>
      <c r="P2" s="132"/>
      <c r="Q2" s="132"/>
      <c r="R2" s="132"/>
      <c r="S2" s="132"/>
      <c r="T2" s="132"/>
    </row>
    <row r="3" spans="1:21" x14ac:dyDescent="0.3">
      <c r="A3" t="s">
        <v>15</v>
      </c>
      <c r="C3">
        <f>Электродвигатель!E14</f>
        <v>400</v>
      </c>
      <c r="D3" t="s">
        <v>16</v>
      </c>
      <c r="F3" s="48"/>
      <c r="G3" s="48"/>
      <c r="H3" s="48"/>
      <c r="I3" s="48"/>
      <c r="J3" s="48"/>
      <c r="O3" s="132" t="s">
        <v>165</v>
      </c>
      <c r="P3" s="132"/>
      <c r="Q3" s="132"/>
      <c r="R3" s="132"/>
      <c r="S3" s="60">
        <f ca="1">C1</f>
        <v>339.37130342425513</v>
      </c>
      <c r="T3" t="s">
        <v>99</v>
      </c>
    </row>
    <row r="4" spans="1:21" x14ac:dyDescent="0.3">
      <c r="A4" t="s">
        <v>467</v>
      </c>
      <c r="C4">
        <f>Электродвигатель!F53</f>
        <v>160</v>
      </c>
      <c r="D4" t="s">
        <v>16</v>
      </c>
      <c r="F4" s="16"/>
      <c r="H4" s="16"/>
      <c r="O4" s="110" t="s">
        <v>486</v>
      </c>
      <c r="P4" s="110"/>
      <c r="Q4" s="110"/>
      <c r="R4" s="110"/>
      <c r="S4">
        <f ca="1">2*1000*C1/C4</f>
        <v>4242.1412928031887</v>
      </c>
      <c r="T4" t="s">
        <v>152</v>
      </c>
    </row>
    <row r="5" spans="1:21" x14ac:dyDescent="0.3">
      <c r="H5" s="16"/>
      <c r="I5" s="107" t="s">
        <v>360</v>
      </c>
      <c r="J5" s="108"/>
      <c r="K5" s="108"/>
      <c r="L5" s="115"/>
      <c r="M5" s="1"/>
      <c r="O5" s="132" t="s">
        <v>487</v>
      </c>
      <c r="P5" s="132"/>
      <c r="Q5" s="132"/>
      <c r="R5" s="132"/>
      <c r="S5" s="52">
        <v>2.2999999999999998</v>
      </c>
      <c r="T5" t="s">
        <v>57</v>
      </c>
      <c r="U5" t="s">
        <v>100</v>
      </c>
    </row>
    <row r="6" spans="1:21" x14ac:dyDescent="0.3">
      <c r="H6" s="48"/>
      <c r="I6" s="102" t="s">
        <v>459</v>
      </c>
      <c r="J6" s="16"/>
      <c r="K6" s="1"/>
      <c r="L6" s="3"/>
      <c r="M6" s="1"/>
      <c r="O6" s="132" t="s">
        <v>150</v>
      </c>
      <c r="P6" s="132"/>
      <c r="Q6" s="132"/>
      <c r="R6" s="132"/>
      <c r="S6">
        <f ca="1">-S5*C1/C4*1000*2</f>
        <v>-9756.9249734473342</v>
      </c>
      <c r="T6" t="s">
        <v>152</v>
      </c>
    </row>
    <row r="7" spans="1:21" x14ac:dyDescent="0.3">
      <c r="B7" s="107" t="s">
        <v>180</v>
      </c>
      <c r="C7" s="108"/>
      <c r="D7" s="108"/>
      <c r="E7" s="108"/>
      <c r="F7" s="115"/>
      <c r="G7" s="1"/>
      <c r="H7" s="48"/>
      <c r="I7" s="7" t="s">
        <v>464</v>
      </c>
      <c r="J7" s="1"/>
      <c r="K7" s="1"/>
      <c r="L7" s="3"/>
      <c r="M7" s="1"/>
      <c r="O7" s="132" t="s">
        <v>507</v>
      </c>
      <c r="P7" s="132"/>
      <c r="Q7" s="132"/>
      <c r="R7" s="132"/>
      <c r="S7">
        <v>0</v>
      </c>
      <c r="T7" t="s">
        <v>152</v>
      </c>
    </row>
    <row r="8" spans="1:21" x14ac:dyDescent="0.3">
      <c r="B8" s="109" t="s">
        <v>176</v>
      </c>
      <c r="C8" s="110"/>
      <c r="D8" s="110"/>
      <c r="E8" s="1">
        <v>5.4</v>
      </c>
      <c r="F8" s="99"/>
      <c r="G8" s="1"/>
      <c r="H8" s="48"/>
      <c r="I8" s="7" t="s">
        <v>460</v>
      </c>
      <c r="J8" s="1"/>
      <c r="K8" s="1" t="s">
        <v>462</v>
      </c>
      <c r="L8" s="3"/>
      <c r="M8" s="1"/>
      <c r="O8" s="132" t="s">
        <v>506</v>
      </c>
      <c r="P8" s="132"/>
      <c r="Q8" s="132"/>
      <c r="R8" s="132"/>
      <c r="S8">
        <f>ABS(силы!R5)</f>
        <v>2822.3999999999996</v>
      </c>
      <c r="T8" t="s">
        <v>152</v>
      </c>
    </row>
    <row r="9" spans="1:21" x14ac:dyDescent="0.3">
      <c r="B9" s="109" t="s">
        <v>188</v>
      </c>
      <c r="C9" s="110"/>
      <c r="D9" s="110"/>
      <c r="E9" s="1">
        <f ca="1">E8*(C1)^(1/3)</f>
        <v>37.666228089886616</v>
      </c>
      <c r="F9" s="3" t="s">
        <v>16</v>
      </c>
      <c r="G9" s="1"/>
      <c r="H9" s="48"/>
      <c r="I9" s="7" t="s">
        <v>461</v>
      </c>
      <c r="J9" s="1"/>
      <c r="K9" s="1" t="s">
        <v>463</v>
      </c>
      <c r="L9" s="3"/>
      <c r="M9" s="1"/>
      <c r="O9" s="132" t="s">
        <v>376</v>
      </c>
      <c r="P9" s="132"/>
      <c r="Q9" s="132"/>
      <c r="R9" s="132"/>
      <c r="S9" s="132"/>
      <c r="T9" s="132"/>
    </row>
    <row r="10" spans="1:21" x14ac:dyDescent="0.3">
      <c r="B10" s="109" t="s">
        <v>181</v>
      </c>
      <c r="C10" s="110"/>
      <c r="D10" s="110"/>
      <c r="E10" s="71">
        <f ca="1">_xlfn.MINIFS('Ra40'!$B:$B,'Ra40'!$B:$B,"&gt;="&amp;E9)</f>
        <v>38</v>
      </c>
      <c r="F10" s="3" t="s">
        <v>16</v>
      </c>
      <c r="G10" s="1"/>
      <c r="I10" s="7" t="s">
        <v>485</v>
      </c>
      <c r="J10" s="1"/>
      <c r="K10" s="1"/>
      <c r="L10" s="3"/>
      <c r="M10" s="1"/>
      <c r="O10" s="132" t="s">
        <v>377</v>
      </c>
      <c r="P10" s="132"/>
      <c r="Q10" s="132"/>
      <c r="R10" s="132"/>
      <c r="S10" s="52">
        <v>101.5</v>
      </c>
      <c r="T10" t="s">
        <v>16</v>
      </c>
      <c r="U10" t="s">
        <v>489</v>
      </c>
    </row>
    <row r="11" spans="1:21" x14ac:dyDescent="0.3">
      <c r="B11" s="109" t="s">
        <v>189</v>
      </c>
      <c r="C11" s="110"/>
      <c r="D11" s="110"/>
      <c r="E11" s="1">
        <f ca="1">_xlfn.MINIFS(Вал!$28:$28,Вал!$26:$26,"&gt;="&amp;E10)</f>
        <v>3.5</v>
      </c>
      <c r="F11" s="3" t="s">
        <v>16</v>
      </c>
      <c r="G11" s="1"/>
      <c r="I11" s="7" t="s">
        <v>465</v>
      </c>
      <c r="J11" s="1"/>
      <c r="K11" s="1" t="s">
        <v>466</v>
      </c>
      <c r="L11" s="3"/>
      <c r="M11" s="1"/>
      <c r="O11" s="132" t="s">
        <v>378</v>
      </c>
      <c r="P11" s="132"/>
      <c r="Q11" s="132"/>
      <c r="R11" s="132"/>
      <c r="S11" s="52">
        <v>74.5</v>
      </c>
      <c r="T11" t="s">
        <v>16</v>
      </c>
      <c r="U11" t="s">
        <v>490</v>
      </c>
    </row>
    <row r="12" spans="1:21" x14ac:dyDescent="0.3">
      <c r="B12" s="109" t="s">
        <v>185</v>
      </c>
      <c r="C12" s="110"/>
      <c r="D12" s="110"/>
      <c r="E12" s="1">
        <f ca="1">E10+2*E11</f>
        <v>45</v>
      </c>
      <c r="F12" s="3" t="s">
        <v>16</v>
      </c>
      <c r="G12" s="1"/>
      <c r="I12" s="7" t="s">
        <v>474</v>
      </c>
      <c r="J12" s="1">
        <v>52</v>
      </c>
      <c r="K12" s="25" t="s">
        <v>16</v>
      </c>
      <c r="L12" s="3"/>
      <c r="M12" s="1"/>
      <c r="O12" s="132" t="s">
        <v>379</v>
      </c>
      <c r="P12" s="132"/>
      <c r="Q12" s="132"/>
      <c r="R12" s="132"/>
      <c r="S12" s="52">
        <v>320</v>
      </c>
      <c r="T12" t="s">
        <v>16</v>
      </c>
      <c r="U12" t="s">
        <v>491</v>
      </c>
    </row>
    <row r="13" spans="1:21" x14ac:dyDescent="0.3">
      <c r="B13" s="109" t="s">
        <v>250</v>
      </c>
      <c r="C13" s="110"/>
      <c r="D13" s="110"/>
      <c r="E13" s="71">
        <f ca="1">_xlfn.MINIFS(Подшипники!$A:$A,Подшипники!$A:$A,"&gt;="&amp;E12)</f>
        <v>45</v>
      </c>
      <c r="F13" s="3" t="s">
        <v>16</v>
      </c>
      <c r="G13" s="1"/>
      <c r="I13" s="7" t="s">
        <v>285</v>
      </c>
      <c r="J13" s="1">
        <v>58</v>
      </c>
      <c r="K13" s="25" t="s">
        <v>16</v>
      </c>
      <c r="L13" s="3"/>
      <c r="M13" s="1"/>
      <c r="O13" s="132" t="s">
        <v>488</v>
      </c>
      <c r="P13" s="132"/>
      <c r="Q13" s="132"/>
      <c r="R13" s="132"/>
      <c r="S13" s="52">
        <v>74.5</v>
      </c>
      <c r="T13" t="s">
        <v>16</v>
      </c>
      <c r="U13" t="s">
        <v>492</v>
      </c>
    </row>
    <row r="14" spans="1:21" x14ac:dyDescent="0.3">
      <c r="B14" s="109" t="s">
        <v>189</v>
      </c>
      <c r="C14" s="110"/>
      <c r="D14" s="110"/>
      <c r="E14" s="1">
        <f ca="1">_xlfn.MINIFS(Вал!$29:$29,Вал!$26:$26,"&gt;="&amp;E10)</f>
        <v>2.2999999999999998</v>
      </c>
      <c r="F14" s="3" t="s">
        <v>16</v>
      </c>
      <c r="G14" s="1"/>
      <c r="I14" s="7" t="s">
        <v>327</v>
      </c>
      <c r="J14" s="1">
        <v>10</v>
      </c>
      <c r="K14" s="25" t="s">
        <v>16</v>
      </c>
      <c r="L14" s="3"/>
      <c r="M14" s="1"/>
      <c r="O14" s="132" t="s">
        <v>390</v>
      </c>
      <c r="P14" s="132"/>
      <c r="Q14" s="132"/>
      <c r="R14" s="132"/>
      <c r="S14" s="132"/>
      <c r="T14" s="132"/>
      <c r="U14" t="s">
        <v>493</v>
      </c>
    </row>
    <row r="15" spans="1:21" x14ac:dyDescent="0.3">
      <c r="B15" s="109" t="s">
        <v>186</v>
      </c>
      <c r="C15" s="110"/>
      <c r="D15" s="110"/>
      <c r="E15" s="1">
        <f ca="1">E13+2*E14</f>
        <v>49.6</v>
      </c>
      <c r="F15" s="3" t="s">
        <v>16</v>
      </c>
      <c r="G15" s="1"/>
      <c r="I15" s="7" t="s">
        <v>475</v>
      </c>
      <c r="J15" s="25">
        <v>8</v>
      </c>
      <c r="K15" s="25" t="s">
        <v>16</v>
      </c>
      <c r="L15" s="3"/>
      <c r="M15" s="1"/>
      <c r="O15" s="132" t="s">
        <v>495</v>
      </c>
      <c r="P15" s="132"/>
      <c r="Q15" s="132"/>
      <c r="R15" s="132"/>
      <c r="S15">
        <f ca="1">S4/2*(($S$12+$S$13)+($S$13))/($S$11+$S$12+$S$13)</f>
        <v>2121.0706464015943</v>
      </c>
      <c r="T15" t="s">
        <v>152</v>
      </c>
    </row>
    <row r="16" spans="1:21" x14ac:dyDescent="0.3">
      <c r="B16" s="109" t="s">
        <v>253</v>
      </c>
      <c r="C16" s="110"/>
      <c r="D16" s="110"/>
      <c r="E16" s="71">
        <f ca="1">ROUNDUP(E15,0)</f>
        <v>50</v>
      </c>
      <c r="F16" s="3" t="s">
        <v>16</v>
      </c>
      <c r="G16" s="1"/>
      <c r="I16" s="106" t="s">
        <v>481</v>
      </c>
      <c r="J16" s="25">
        <v>0.5</v>
      </c>
      <c r="K16" s="25" t="s">
        <v>16</v>
      </c>
      <c r="L16" s="3"/>
      <c r="M16" s="1"/>
      <c r="O16" s="132" t="s">
        <v>387</v>
      </c>
      <c r="P16" s="132"/>
      <c r="Q16" s="132"/>
      <c r="R16" s="132"/>
      <c r="S16">
        <f>S7*($S$10+$S$11+$S$12+$S$13)/($S$11+$S$12+$S$13)</f>
        <v>0</v>
      </c>
      <c r="T16" t="s">
        <v>152</v>
      </c>
    </row>
    <row r="17" spans="2:20" x14ac:dyDescent="0.3">
      <c r="B17" s="109" t="s">
        <v>247</v>
      </c>
      <c r="C17" s="110"/>
      <c r="D17" s="110"/>
      <c r="E17" s="103">
        <v>1309</v>
      </c>
      <c r="F17" s="3" t="s">
        <v>470</v>
      </c>
      <c r="G17" s="1"/>
      <c r="I17" s="104" t="s">
        <v>476</v>
      </c>
      <c r="J17" s="1">
        <v>25</v>
      </c>
      <c r="K17" s="25" t="s">
        <v>223</v>
      </c>
      <c r="L17" s="3"/>
      <c r="M17" s="1"/>
      <c r="O17" s="132" t="s">
        <v>494</v>
      </c>
      <c r="P17" s="132"/>
      <c r="Q17" s="132"/>
      <c r="R17" s="132"/>
      <c r="S17">
        <f ca="1">S6/2*(($S$12+$S$13)+($S$13))/($S$11+$S$12+$S$13)</f>
        <v>-4878.4624867236671</v>
      </c>
      <c r="T17" t="s">
        <v>152</v>
      </c>
    </row>
    <row r="18" spans="2:20" x14ac:dyDescent="0.3">
      <c r="B18" s="109" t="s">
        <v>333</v>
      </c>
      <c r="C18" s="110"/>
      <c r="D18" s="110"/>
      <c r="E18" s="1">
        <v>100</v>
      </c>
      <c r="F18" s="3" t="s">
        <v>16</v>
      </c>
      <c r="G18" s="1"/>
      <c r="I18" s="7" t="s">
        <v>477</v>
      </c>
      <c r="J18" s="1">
        <f>0.2*J12*J12*J12</f>
        <v>28121.600000000002</v>
      </c>
      <c r="K18" s="25" t="s">
        <v>478</v>
      </c>
      <c r="L18" s="3"/>
      <c r="M18" s="1"/>
      <c r="O18" s="132" t="s">
        <v>389</v>
      </c>
      <c r="P18" s="132"/>
      <c r="Q18" s="132"/>
      <c r="R18" s="132"/>
      <c r="S18">
        <f>S8*($S$10+$S$11+$S$12+$S$13)/($S$11+$S$12+$S$13)</f>
        <v>3433.2179104477605</v>
      </c>
      <c r="T18" t="s">
        <v>152</v>
      </c>
    </row>
    <row r="19" spans="2:20" x14ac:dyDescent="0.3">
      <c r="B19" s="109" t="s">
        <v>158</v>
      </c>
      <c r="C19" s="110"/>
      <c r="D19" s="110"/>
      <c r="E19" s="1">
        <v>36</v>
      </c>
      <c r="F19" s="3" t="s">
        <v>16</v>
      </c>
      <c r="G19" s="1"/>
      <c r="I19" s="105" t="s">
        <v>479</v>
      </c>
      <c r="J19" s="1">
        <v>1.3</v>
      </c>
      <c r="K19" s="1"/>
      <c r="L19" s="3"/>
      <c r="M19" s="1"/>
      <c r="O19" s="132" t="s">
        <v>392</v>
      </c>
      <c r="P19" s="132"/>
      <c r="Q19" s="132"/>
      <c r="R19" s="132"/>
      <c r="S19">
        <f ca="1">S15+S16</f>
        <v>2121.0706464015943</v>
      </c>
      <c r="T19" t="s">
        <v>152</v>
      </c>
    </row>
    <row r="20" spans="2:20" x14ac:dyDescent="0.3">
      <c r="B20" s="109" t="s">
        <v>427</v>
      </c>
      <c r="C20" s="110"/>
      <c r="D20" s="110"/>
      <c r="E20" s="67">
        <v>54</v>
      </c>
      <c r="F20" s="3" t="s">
        <v>4</v>
      </c>
      <c r="G20" s="1"/>
      <c r="I20" s="105" t="s">
        <v>480</v>
      </c>
      <c r="J20" s="1">
        <f>(J13+J12)/2</f>
        <v>55</v>
      </c>
      <c r="K20" s="25" t="s">
        <v>16</v>
      </c>
      <c r="L20" s="3"/>
      <c r="M20" s="1"/>
      <c r="O20" s="132" t="s">
        <v>391</v>
      </c>
      <c r="P20" s="132"/>
      <c r="Q20" s="132"/>
      <c r="R20" s="132"/>
      <c r="S20">
        <f ca="1">S17+S18</f>
        <v>-1445.2445762759066</v>
      </c>
      <c r="T20" t="s">
        <v>152</v>
      </c>
    </row>
    <row r="21" spans="2:20" x14ac:dyDescent="0.3">
      <c r="B21" s="109" t="s">
        <v>428</v>
      </c>
      <c r="C21" s="110"/>
      <c r="D21" s="110"/>
      <c r="E21" s="67">
        <v>22</v>
      </c>
      <c r="F21" s="3" t="s">
        <v>4</v>
      </c>
      <c r="G21" s="1"/>
      <c r="I21" s="105" t="s">
        <v>328</v>
      </c>
      <c r="J21" s="1">
        <f>(J13-J12)/2-2*J16</f>
        <v>2</v>
      </c>
      <c r="K21" s="25" t="s">
        <v>16</v>
      </c>
      <c r="L21" s="3"/>
      <c r="O21" s="132" t="s">
        <v>393</v>
      </c>
      <c r="P21" s="132"/>
      <c r="Q21" s="132"/>
      <c r="R21" s="132"/>
      <c r="S21">
        <f ca="1">SQRT(S19*S19+S20*S20)</f>
        <v>2566.6461720076263</v>
      </c>
      <c r="T21" t="s">
        <v>152</v>
      </c>
    </row>
    <row r="22" spans="2:20" x14ac:dyDescent="0.3">
      <c r="B22" s="7" t="s">
        <v>471</v>
      </c>
      <c r="C22" s="7" t="s">
        <v>473</v>
      </c>
      <c r="D22" s="7" t="s">
        <v>472</v>
      </c>
      <c r="E22" s="12" t="s">
        <v>410</v>
      </c>
      <c r="F22" s="3"/>
      <c r="G22" s="1"/>
      <c r="I22" s="7" t="s">
        <v>482</v>
      </c>
      <c r="J22" s="1" t="b">
        <f ca="1">C1/J18*1000&lt;J17</f>
        <v>1</v>
      </c>
      <c r="K22" s="1"/>
      <c r="L22" s="3"/>
      <c r="O22" s="132" t="s">
        <v>394</v>
      </c>
      <c r="P22" s="132"/>
      <c r="Q22" s="132"/>
      <c r="R22" s="132"/>
      <c r="S22" s="132"/>
      <c r="T22" s="132"/>
    </row>
    <row r="23" spans="2:20" x14ac:dyDescent="0.3">
      <c r="B23">
        <v>0.25</v>
      </c>
      <c r="C23" s="1">
        <v>1</v>
      </c>
      <c r="D23" s="1">
        <v>2.54</v>
      </c>
      <c r="E23" s="1">
        <v>2.66</v>
      </c>
      <c r="F23" s="3"/>
      <c r="I23" s="106" t="s">
        <v>483</v>
      </c>
      <c r="J23" s="1" t="b">
        <f ca="1">2*C1*J19/J20/J15/J21/J24&lt;J25</f>
        <v>1</v>
      </c>
      <c r="K23" s="1"/>
      <c r="L23" s="3"/>
      <c r="O23" s="132" t="s">
        <v>495</v>
      </c>
      <c r="P23" s="132"/>
      <c r="Q23" s="132"/>
      <c r="R23" s="132"/>
      <c r="S23">
        <f ca="1">S4/2*(($S$11)+($S$11+$S$12))/($S$11+$S$12+$S$13)</f>
        <v>2121.0706464015943</v>
      </c>
      <c r="T23" t="s">
        <v>152</v>
      </c>
    </row>
    <row r="24" spans="2:20" x14ac:dyDescent="0.3">
      <c r="C24" s="1"/>
      <c r="D24" s="1"/>
      <c r="E24" s="1"/>
      <c r="F24" s="3"/>
      <c r="I24" s="106" t="s">
        <v>326</v>
      </c>
      <c r="J24" s="1">
        <v>40</v>
      </c>
      <c r="K24" s="1"/>
      <c r="L24" s="3"/>
      <c r="O24" s="132" t="s">
        <v>387</v>
      </c>
      <c r="P24" s="132"/>
      <c r="Q24" s="132"/>
      <c r="R24" s="132"/>
      <c r="S24">
        <f>-S7*($S$10)/($S$11+$S$12+$S$13)</f>
        <v>0</v>
      </c>
      <c r="T24" t="s">
        <v>152</v>
      </c>
    </row>
    <row r="25" spans="2:20" x14ac:dyDescent="0.3">
      <c r="C25" s="4"/>
      <c r="D25" s="4"/>
      <c r="E25" s="4"/>
      <c r="F25" s="5"/>
      <c r="I25" s="7" t="s">
        <v>484</v>
      </c>
      <c r="J25" s="1">
        <f>0.4*240</f>
        <v>96</v>
      </c>
      <c r="K25" s="1"/>
      <c r="L25" s="3"/>
      <c r="O25" s="132" t="s">
        <v>494</v>
      </c>
      <c r="P25" s="132"/>
      <c r="Q25" s="132"/>
      <c r="R25" s="132"/>
      <c r="S25">
        <f ca="1">S6/2*(($S$11)+($S$11+$S$12))/($S$11+$S$12+$S$13)</f>
        <v>-4878.4624867236671</v>
      </c>
      <c r="T25" t="s">
        <v>152</v>
      </c>
    </row>
    <row r="26" spans="2:20" x14ac:dyDescent="0.3">
      <c r="I26" s="12" t="s">
        <v>164</v>
      </c>
      <c r="J26" s="4" t="b">
        <f ca="1">AND(J22,J23)</f>
        <v>1</v>
      </c>
      <c r="K26" s="4"/>
      <c r="L26" s="5"/>
      <c r="O26" s="132" t="s">
        <v>389</v>
      </c>
      <c r="P26" s="132"/>
      <c r="Q26" s="132"/>
      <c r="R26" s="132"/>
      <c r="S26">
        <f>-S8*($S$10)/($S$11+$S$12+$S$13)</f>
        <v>-610.81791044776116</v>
      </c>
      <c r="T26" t="s">
        <v>152</v>
      </c>
    </row>
    <row r="27" spans="2:20" x14ac:dyDescent="0.3">
      <c r="O27" s="132" t="s">
        <v>392</v>
      </c>
      <c r="P27" s="132"/>
      <c r="Q27" s="132"/>
      <c r="R27" s="132"/>
      <c r="S27">
        <f ca="1">S23+S24</f>
        <v>2121.0706464015943</v>
      </c>
      <c r="T27" t="s">
        <v>152</v>
      </c>
    </row>
    <row r="28" spans="2:20" x14ac:dyDescent="0.3">
      <c r="O28" s="132" t="s">
        <v>391</v>
      </c>
      <c r="P28" s="132"/>
      <c r="Q28" s="132"/>
      <c r="R28" s="132"/>
      <c r="S28">
        <f ca="1">S25+S26</f>
        <v>-5489.2803971714284</v>
      </c>
      <c r="T28" t="s">
        <v>152</v>
      </c>
    </row>
    <row r="29" spans="2:20" x14ac:dyDescent="0.3">
      <c r="O29" s="132" t="s">
        <v>393</v>
      </c>
      <c r="P29" s="132"/>
      <c r="Q29" s="132"/>
      <c r="R29" s="132"/>
      <c r="S29">
        <f ca="1">SQRT(S27*S27+S28*S28)</f>
        <v>5884.8228491431237</v>
      </c>
      <c r="T29" t="s">
        <v>152</v>
      </c>
    </row>
    <row r="31" spans="2:20" x14ac:dyDescent="0.3">
      <c r="H31" s="132" t="s">
        <v>403</v>
      </c>
      <c r="I31" s="132"/>
      <c r="J31" s="132"/>
      <c r="K31" s="132"/>
      <c r="L31">
        <f>Электродвигатель!$E$5</f>
        <v>10000</v>
      </c>
      <c r="O31" s="132" t="s">
        <v>399</v>
      </c>
      <c r="P31" s="132"/>
      <c r="Q31" s="132"/>
      <c r="R31" s="132"/>
      <c r="S31">
        <f ca="1">MAX(S29,S21)</f>
        <v>5884.8228491431237</v>
      </c>
      <c r="T31" t="s">
        <v>152</v>
      </c>
    </row>
    <row r="32" spans="2:20" x14ac:dyDescent="0.3">
      <c r="H32" s="132" t="s">
        <v>396</v>
      </c>
      <c r="I32" s="132"/>
      <c r="J32" s="132"/>
      <c r="K32" s="132"/>
      <c r="L32">
        <f>Электродвигатель!$E$6</f>
        <v>0.9</v>
      </c>
      <c r="O32" s="132" t="s">
        <v>435</v>
      </c>
      <c r="P32" s="132"/>
      <c r="Q32" s="132"/>
      <c r="R32" s="132"/>
      <c r="S32">
        <f>Y6</f>
        <v>0</v>
      </c>
      <c r="T32" t="s">
        <v>152</v>
      </c>
    </row>
    <row r="33" spans="8:20" x14ac:dyDescent="0.3">
      <c r="H33" s="132" t="s">
        <v>397</v>
      </c>
      <c r="I33" s="132"/>
      <c r="J33" s="132"/>
      <c r="K33" s="132"/>
      <c r="L33" s="97">
        <v>3</v>
      </c>
    </row>
    <row r="34" spans="8:20" x14ac:dyDescent="0.3">
      <c r="H34" s="132" t="s">
        <v>401</v>
      </c>
      <c r="I34" s="132"/>
      <c r="J34" s="132"/>
      <c r="K34" s="132"/>
      <c r="L34" s="97">
        <f>C23</f>
        <v>1</v>
      </c>
    </row>
    <row r="35" spans="8:20" x14ac:dyDescent="0.3">
      <c r="H35" s="132" t="s">
        <v>410</v>
      </c>
      <c r="I35" s="132"/>
      <c r="J35" s="132"/>
      <c r="K35" s="132"/>
      <c r="L35" s="97">
        <f>E23</f>
        <v>2.66</v>
      </c>
      <c r="O35" s="132" t="s">
        <v>395</v>
      </c>
      <c r="P35" s="132"/>
      <c r="Q35" s="132"/>
      <c r="R35" s="132"/>
      <c r="S35" s="132"/>
    </row>
    <row r="36" spans="8:20" x14ac:dyDescent="0.3">
      <c r="H36" s="132" t="s">
        <v>434</v>
      </c>
      <c r="I36" s="132"/>
      <c r="J36" s="132"/>
      <c r="K36" s="132"/>
      <c r="L36" s="97">
        <v>1</v>
      </c>
      <c r="O36" s="132" t="s">
        <v>398</v>
      </c>
      <c r="P36" s="132"/>
      <c r="Q36" s="132"/>
      <c r="R36" s="132"/>
      <c r="S36" s="132"/>
    </row>
    <row r="37" spans="8:20" x14ac:dyDescent="0.3">
      <c r="H37" s="132" t="s">
        <v>432</v>
      </c>
      <c r="I37" s="132"/>
      <c r="J37" s="132"/>
      <c r="K37" s="132"/>
      <c r="L37" s="52">
        <v>1.6</v>
      </c>
      <c r="O37" s="132" t="s">
        <v>431</v>
      </c>
      <c r="P37" s="132"/>
      <c r="Q37" s="132"/>
      <c r="R37" s="132"/>
      <c r="S37">
        <f>E21*1000</f>
        <v>22000</v>
      </c>
      <c r="T37" t="s">
        <v>152</v>
      </c>
    </row>
    <row r="38" spans="8:20" x14ac:dyDescent="0.3">
      <c r="H38" s="132" t="s">
        <v>424</v>
      </c>
      <c r="I38" s="132"/>
      <c r="J38" s="132"/>
      <c r="K38" s="132"/>
      <c r="L38" s="52">
        <v>1</v>
      </c>
      <c r="O38" s="132" t="s">
        <v>400</v>
      </c>
      <c r="P38" s="132"/>
      <c r="Q38" s="132"/>
      <c r="R38" s="132"/>
      <c r="S38">
        <f ca="1">(S31*$C$23*$L$36+S32*$E$23)*$L$37*$L$38*$L$42</f>
        <v>5931.9014319362686</v>
      </c>
      <c r="T38" t="s">
        <v>152</v>
      </c>
    </row>
    <row r="39" spans="8:20" x14ac:dyDescent="0.3">
      <c r="H39" s="132" t="s">
        <v>433</v>
      </c>
      <c r="I39" s="132"/>
      <c r="J39" s="132"/>
      <c r="K39" s="132"/>
      <c r="L39" s="97">
        <v>1</v>
      </c>
    </row>
    <row r="40" spans="8:20" x14ac:dyDescent="0.3">
      <c r="H40" s="132" t="s">
        <v>412</v>
      </c>
      <c r="I40" s="132"/>
      <c r="J40" s="132"/>
      <c r="K40" s="132"/>
      <c r="L40">
        <f>Корпус!E30</f>
        <v>22</v>
      </c>
      <c r="O40" s="132" t="s">
        <v>402</v>
      </c>
      <c r="P40" s="132"/>
      <c r="Q40" s="132"/>
      <c r="R40" s="132"/>
      <c r="S40" s="132"/>
    </row>
    <row r="41" spans="8:20" x14ac:dyDescent="0.3">
      <c r="H41" s="132" t="s">
        <v>422</v>
      </c>
      <c r="I41" s="132"/>
      <c r="J41" s="132"/>
      <c r="K41" s="132"/>
      <c r="L41">
        <f>Электродвигатель!$E$7</f>
        <v>3</v>
      </c>
      <c r="O41" s="132" t="s">
        <v>430</v>
      </c>
      <c r="P41" s="132"/>
      <c r="Q41" s="132"/>
      <c r="R41" s="132"/>
      <c r="S41" s="88">
        <f>E20*1000</f>
        <v>54000</v>
      </c>
      <c r="T41" t="s">
        <v>152</v>
      </c>
    </row>
    <row r="42" spans="8:20" x14ac:dyDescent="0.3">
      <c r="H42" s="132" t="s">
        <v>421</v>
      </c>
      <c r="I42" s="132"/>
      <c r="J42" s="132"/>
      <c r="K42" s="132"/>
      <c r="L42" s="52">
        <v>0.63</v>
      </c>
      <c r="O42" s="132" t="s">
        <v>405</v>
      </c>
      <c r="P42" s="132"/>
      <c r="Q42" s="132"/>
      <c r="R42" s="132"/>
      <c r="S42" s="132" t="b">
        <f ca="1">S31&lt;(S41/2)</f>
        <v>1</v>
      </c>
      <c r="T42" s="132"/>
    </row>
    <row r="43" spans="8:20" x14ac:dyDescent="0.3">
      <c r="O43" s="132" t="s">
        <v>406</v>
      </c>
      <c r="P43" s="132"/>
      <c r="Q43" s="132"/>
      <c r="R43" s="132"/>
      <c r="S43" s="132" t="b">
        <f ca="1">S31&gt;S42*0.01</f>
        <v>1</v>
      </c>
      <c r="T43" s="132"/>
    </row>
    <row r="44" spans="8:20" x14ac:dyDescent="0.3">
      <c r="O44" s="48"/>
      <c r="P44" s="48"/>
      <c r="Q44" s="48"/>
      <c r="R44" s="48"/>
    </row>
    <row r="45" spans="8:20" x14ac:dyDescent="0.3">
      <c r="O45" s="132" t="s">
        <v>411</v>
      </c>
      <c r="P45" s="132"/>
      <c r="Q45" s="132"/>
      <c r="R45" s="132"/>
      <c r="S45">
        <f ca="1">(E18+E13)/2</f>
        <v>72.5</v>
      </c>
      <c r="T45" t="s">
        <v>16</v>
      </c>
    </row>
    <row r="46" spans="8:20" x14ac:dyDescent="0.3">
      <c r="O46" s="132" t="s">
        <v>413</v>
      </c>
      <c r="P46" s="132"/>
      <c r="Q46" s="132"/>
      <c r="R46" s="132"/>
      <c r="S46">
        <f ca="1">IF(S3&gt;1000,4500*S3^(-0.5)*S45^(-0.5),45000*S3^(-0.83)*S45^(-0.5))</f>
        <v>41.935629230014918</v>
      </c>
      <c r="T46" t="s">
        <v>317</v>
      </c>
    </row>
    <row r="47" spans="8:20" x14ac:dyDescent="0.3">
      <c r="O47" s="132" t="s">
        <v>415</v>
      </c>
      <c r="P47" s="132"/>
      <c r="Q47" s="132"/>
      <c r="R47" s="132"/>
      <c r="S47">
        <f ca="1">MAX(MIN(4,$L$40/S46),0.1)</f>
        <v>0.52461356617140653</v>
      </c>
      <c r="T47" t="s">
        <v>57</v>
      </c>
    </row>
    <row r="48" spans="8:20" x14ac:dyDescent="0.3">
      <c r="O48" s="132" t="s">
        <v>496</v>
      </c>
      <c r="P48" s="132"/>
    </row>
    <row r="49" spans="15:21" x14ac:dyDescent="0.3">
      <c r="O49" s="132" t="s">
        <v>416</v>
      </c>
      <c r="P49" s="132"/>
      <c r="Q49" s="132"/>
      <c r="R49" s="132"/>
      <c r="S49" s="52">
        <f ca="1">0.0432*S47^0.68*S45^0.55*(1-1.141/S45^(1/3))</f>
        <v>0.21345922614533333</v>
      </c>
      <c r="T49" t="s">
        <v>57</v>
      </c>
    </row>
    <row r="50" spans="15:21" x14ac:dyDescent="0.3">
      <c r="O50" s="132" t="s">
        <v>414</v>
      </c>
      <c r="P50" s="132"/>
      <c r="Q50" s="132"/>
      <c r="R50" s="132"/>
      <c r="S50" s="97">
        <f>S41/22</f>
        <v>2454.5454545454545</v>
      </c>
      <c r="T50" t="s">
        <v>152</v>
      </c>
    </row>
    <row r="52" spans="15:21" x14ac:dyDescent="0.3">
      <c r="O52" t="s">
        <v>193</v>
      </c>
      <c r="P52" t="s">
        <v>327</v>
      </c>
      <c r="Q52" t="s">
        <v>417</v>
      </c>
      <c r="R52" t="s">
        <v>423</v>
      </c>
      <c r="S52" t="s">
        <v>418</v>
      </c>
      <c r="T52" t="s">
        <v>420</v>
      </c>
      <c r="U52" t="s">
        <v>419</v>
      </c>
    </row>
    <row r="53" spans="15:21" x14ac:dyDescent="0.3">
      <c r="O53" s="97">
        <v>2.5670999999999999</v>
      </c>
      <c r="P53" s="97">
        <v>2.2648999999999999</v>
      </c>
      <c r="Q53" s="97">
        <v>5.4380999999999999E-2</v>
      </c>
      <c r="R53" s="97">
        <f>1/3</f>
        <v>0.33333333333333331</v>
      </c>
      <c r="S53" s="97">
        <v>0.83</v>
      </c>
      <c r="T53" s="97">
        <v>1</v>
      </c>
      <c r="U53" s="97">
        <v>9.3000000000000007</v>
      </c>
    </row>
    <row r="55" spans="15:21" x14ac:dyDescent="0.3">
      <c r="O55" s="132" t="s">
        <v>407</v>
      </c>
      <c r="P55" s="132"/>
      <c r="Q55" s="132"/>
      <c r="R55" s="132"/>
      <c r="S55">
        <f ca="1">MIN(0.3*(1-(O53-P53/S47^Q53)^S53*(S49*S50/T53/S38)^R53)^(-U53),50)</f>
        <v>1.0652003303996018</v>
      </c>
      <c r="T55" t="s">
        <v>57</v>
      </c>
    </row>
    <row r="56" spans="15:21" x14ac:dyDescent="0.3">
      <c r="O56" s="132" t="s">
        <v>137</v>
      </c>
      <c r="P56" s="132"/>
      <c r="Q56" s="132"/>
      <c r="R56" s="132"/>
      <c r="S56" s="132">
        <f ca="1">$L$39*S55*(S41/S38)^$L$33*10^6/60/S3</f>
        <v>39464.30213377683</v>
      </c>
      <c r="T56" s="132"/>
      <c r="U56" t="s">
        <v>404</v>
      </c>
    </row>
    <row r="57" spans="15:21" x14ac:dyDescent="0.3">
      <c r="O57" s="132" t="s">
        <v>409</v>
      </c>
      <c r="P57" s="132"/>
      <c r="Q57" s="132"/>
      <c r="R57" s="132"/>
      <c r="S57" s="132" t="b">
        <f ca="1">S56&gt;$L$31</f>
        <v>1</v>
      </c>
      <c r="T57" s="132"/>
    </row>
    <row r="58" spans="15:21" x14ac:dyDescent="0.3">
      <c r="O58" s="132" t="s">
        <v>164</v>
      </c>
      <c r="P58" s="132"/>
      <c r="Q58" s="132"/>
      <c r="R58" s="132"/>
      <c r="S58" s="166" t="b">
        <f ca="1">AND(S42,S43,S57)</f>
        <v>1</v>
      </c>
      <c r="T58" s="166"/>
    </row>
  </sheetData>
  <mergeCells count="81">
    <mergeCell ref="O7:R7"/>
    <mergeCell ref="O6:R6"/>
    <mergeCell ref="O5:R5"/>
    <mergeCell ref="O4:R4"/>
    <mergeCell ref="H41:K41"/>
    <mergeCell ref="H42:K42"/>
    <mergeCell ref="H36:K36"/>
    <mergeCell ref="H37:K37"/>
    <mergeCell ref="H38:K38"/>
    <mergeCell ref="H39:K39"/>
    <mergeCell ref="H40:K40"/>
    <mergeCell ref="O35:S35"/>
    <mergeCell ref="H31:K31"/>
    <mergeCell ref="H32:K32"/>
    <mergeCell ref="H33:K33"/>
    <mergeCell ref="H34:K34"/>
    <mergeCell ref="H35:K35"/>
    <mergeCell ref="O28:R28"/>
    <mergeCell ref="O29:R29"/>
    <mergeCell ref="O31:R31"/>
    <mergeCell ref="O32:R32"/>
    <mergeCell ref="O56:R56"/>
    <mergeCell ref="S56:T56"/>
    <mergeCell ref="O57:R57"/>
    <mergeCell ref="S57:T57"/>
    <mergeCell ref="O58:R58"/>
    <mergeCell ref="S58:T58"/>
    <mergeCell ref="O46:R46"/>
    <mergeCell ref="O47:R47"/>
    <mergeCell ref="O49:R49"/>
    <mergeCell ref="O50:R50"/>
    <mergeCell ref="O55:R55"/>
    <mergeCell ref="O48:P48"/>
    <mergeCell ref="O42:R42"/>
    <mergeCell ref="S42:T42"/>
    <mergeCell ref="O43:R43"/>
    <mergeCell ref="S43:T43"/>
    <mergeCell ref="O45:R45"/>
    <mergeCell ref="O36:S36"/>
    <mergeCell ref="O37:R37"/>
    <mergeCell ref="O38:R38"/>
    <mergeCell ref="O40:S40"/>
    <mergeCell ref="O41:R41"/>
    <mergeCell ref="O23:R23"/>
    <mergeCell ref="O24:R24"/>
    <mergeCell ref="O25:R25"/>
    <mergeCell ref="O26:R26"/>
    <mergeCell ref="O27:R27"/>
    <mergeCell ref="O18:R18"/>
    <mergeCell ref="O19:R19"/>
    <mergeCell ref="O20:R20"/>
    <mergeCell ref="O21:R21"/>
    <mergeCell ref="O22:T22"/>
    <mergeCell ref="O14:T14"/>
    <mergeCell ref="O15:R15"/>
    <mergeCell ref="O16:R16"/>
    <mergeCell ref="O17:R17"/>
    <mergeCell ref="O13:R13"/>
    <mergeCell ref="O8:R8"/>
    <mergeCell ref="O9:T9"/>
    <mergeCell ref="O10:R10"/>
    <mergeCell ref="O11:R11"/>
    <mergeCell ref="O12:R12"/>
    <mergeCell ref="O2:T2"/>
    <mergeCell ref="O3:R3"/>
    <mergeCell ref="I5:L5"/>
    <mergeCell ref="B12:D12"/>
    <mergeCell ref="B13:D13"/>
    <mergeCell ref="B14:D14"/>
    <mergeCell ref="B15:D15"/>
    <mergeCell ref="B21:D21"/>
    <mergeCell ref="B17:D17"/>
    <mergeCell ref="B18:D18"/>
    <mergeCell ref="B19:D19"/>
    <mergeCell ref="B7:F7"/>
    <mergeCell ref="B8:D8"/>
    <mergeCell ref="B9:D9"/>
    <mergeCell ref="B10:D10"/>
    <mergeCell ref="B11:D11"/>
    <mergeCell ref="B20:D20"/>
    <mergeCell ref="B16:D16"/>
  </mergeCells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C50C-21F5-4FE2-A0ED-C1B68F182EC0}">
  <dimension ref="A2:G7"/>
  <sheetViews>
    <sheetView workbookViewId="0">
      <selection activeCell="C8" sqref="C8"/>
    </sheetView>
  </sheetViews>
  <sheetFormatPr defaultRowHeight="14.4" x14ac:dyDescent="0.3"/>
  <sheetData>
    <row r="2" spans="1:7" x14ac:dyDescent="0.3">
      <c r="A2" t="s">
        <v>497</v>
      </c>
    </row>
    <row r="3" spans="1:7" x14ac:dyDescent="0.3">
      <c r="A3" t="s">
        <v>503</v>
      </c>
      <c r="D3">
        <v>0.3</v>
      </c>
      <c r="E3">
        <f>D3*1.6</f>
        <v>0.48</v>
      </c>
    </row>
    <row r="4" spans="1:7" x14ac:dyDescent="0.3">
      <c r="A4" t="s">
        <v>498</v>
      </c>
      <c r="D4" t="s">
        <v>499</v>
      </c>
      <c r="E4" t="s">
        <v>501</v>
      </c>
      <c r="F4">
        <f>0.6*34.5</f>
        <v>20.7</v>
      </c>
      <c r="G4" t="s">
        <v>500</v>
      </c>
    </row>
    <row r="5" spans="1:7" x14ac:dyDescent="0.3">
      <c r="A5" t="s">
        <v>502</v>
      </c>
    </row>
    <row r="7" spans="1:7" x14ac:dyDescent="0.3">
      <c r="A7" t="s">
        <v>458</v>
      </c>
      <c r="B7" s="60">
        <f>Электродвигатель!P52</f>
        <v>49.735919716217296</v>
      </c>
      <c r="C7" t="s">
        <v>99</v>
      </c>
    </row>
  </sheetData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61" workbookViewId="0">
      <selection activeCell="A67" sqref="A67:A68"/>
    </sheetView>
  </sheetViews>
  <sheetFormatPr defaultRowHeight="14.4" x14ac:dyDescent="0.3"/>
  <sheetData>
    <row r="1" spans="1:4" x14ac:dyDescent="0.3">
      <c r="A1" s="132">
        <v>1</v>
      </c>
      <c r="B1">
        <v>1</v>
      </c>
      <c r="D1" s="48"/>
    </row>
    <row r="2" spans="1:4" x14ac:dyDescent="0.3">
      <c r="A2" s="132"/>
      <c r="B2">
        <v>1.05</v>
      </c>
      <c r="D2" s="48"/>
    </row>
    <row r="3" spans="1:4" x14ac:dyDescent="0.3">
      <c r="A3" s="132">
        <v>1.1000000000000001</v>
      </c>
      <c r="B3">
        <v>1.1000000000000001</v>
      </c>
      <c r="D3" s="48"/>
    </row>
    <row r="4" spans="1:4" x14ac:dyDescent="0.3">
      <c r="A4" s="132"/>
      <c r="B4">
        <v>1.1499999999999999</v>
      </c>
      <c r="D4" s="48"/>
    </row>
    <row r="5" spans="1:4" x14ac:dyDescent="0.3">
      <c r="A5" s="132">
        <v>1.2</v>
      </c>
      <c r="B5">
        <v>1.2</v>
      </c>
      <c r="D5" s="48"/>
    </row>
    <row r="6" spans="1:4" x14ac:dyDescent="0.3">
      <c r="A6" s="132"/>
      <c r="B6">
        <v>1.3</v>
      </c>
      <c r="D6" s="48"/>
    </row>
    <row r="7" spans="1:4" x14ac:dyDescent="0.3">
      <c r="A7" s="132">
        <v>1.4</v>
      </c>
      <c r="B7">
        <v>1.4</v>
      </c>
      <c r="D7" s="48"/>
    </row>
    <row r="8" spans="1:4" x14ac:dyDescent="0.3">
      <c r="A8" s="132"/>
      <c r="B8">
        <v>1.5</v>
      </c>
      <c r="D8" s="48"/>
    </row>
    <row r="9" spans="1:4" x14ac:dyDescent="0.3">
      <c r="A9" s="132">
        <v>1.6</v>
      </c>
      <c r="B9">
        <v>1.6</v>
      </c>
      <c r="D9" s="48"/>
    </row>
    <row r="10" spans="1:4" x14ac:dyDescent="0.3">
      <c r="A10" s="132"/>
      <c r="B10">
        <v>1.7</v>
      </c>
      <c r="D10" s="48"/>
    </row>
    <row r="11" spans="1:4" x14ac:dyDescent="0.3">
      <c r="A11" s="132">
        <v>1.8</v>
      </c>
      <c r="B11">
        <v>1.8</v>
      </c>
      <c r="D11" s="48"/>
    </row>
    <row r="12" spans="1:4" x14ac:dyDescent="0.3">
      <c r="A12" s="132"/>
      <c r="B12">
        <v>1.9</v>
      </c>
      <c r="D12" s="48"/>
    </row>
    <row r="13" spans="1:4" x14ac:dyDescent="0.3">
      <c r="A13" s="132">
        <v>2</v>
      </c>
      <c r="B13">
        <v>2</v>
      </c>
      <c r="D13" s="48"/>
    </row>
    <row r="14" spans="1:4" x14ac:dyDescent="0.3">
      <c r="A14" s="132"/>
      <c r="B14">
        <v>2.1</v>
      </c>
      <c r="D14" s="48"/>
    </row>
    <row r="15" spans="1:4" x14ac:dyDescent="0.3">
      <c r="A15" s="132">
        <v>2.2000000000000002</v>
      </c>
      <c r="B15">
        <v>2.2000000000000002</v>
      </c>
      <c r="D15" s="48"/>
    </row>
    <row r="16" spans="1:4" x14ac:dyDescent="0.3">
      <c r="A16" s="132"/>
      <c r="B16">
        <v>2.4</v>
      </c>
      <c r="D16" s="48"/>
    </row>
    <row r="17" spans="1:4" x14ac:dyDescent="0.3">
      <c r="A17" s="132">
        <v>2.5</v>
      </c>
      <c r="B17">
        <v>2.5</v>
      </c>
      <c r="D17" s="48"/>
    </row>
    <row r="18" spans="1:4" x14ac:dyDescent="0.3">
      <c r="A18" s="132"/>
      <c r="B18">
        <v>2.6</v>
      </c>
      <c r="D18" s="48"/>
    </row>
    <row r="19" spans="1:4" x14ac:dyDescent="0.3">
      <c r="A19" s="132">
        <v>2.8</v>
      </c>
      <c r="B19">
        <v>2.8</v>
      </c>
      <c r="D19" s="48"/>
    </row>
    <row r="20" spans="1:4" x14ac:dyDescent="0.3">
      <c r="A20" s="132"/>
      <c r="B20">
        <v>3</v>
      </c>
      <c r="D20" s="48"/>
    </row>
    <row r="21" spans="1:4" x14ac:dyDescent="0.3">
      <c r="A21" s="132">
        <v>3.2</v>
      </c>
      <c r="B21">
        <v>3.2</v>
      </c>
      <c r="D21" s="48"/>
    </row>
    <row r="22" spans="1:4" x14ac:dyDescent="0.3">
      <c r="A22" s="132"/>
      <c r="B22">
        <v>3.4</v>
      </c>
      <c r="D22" s="48"/>
    </row>
    <row r="23" spans="1:4" x14ac:dyDescent="0.3">
      <c r="A23" s="132">
        <v>3.6</v>
      </c>
      <c r="B23">
        <v>3.6</v>
      </c>
      <c r="D23" s="48"/>
    </row>
    <row r="24" spans="1:4" x14ac:dyDescent="0.3">
      <c r="A24" s="132"/>
      <c r="B24">
        <v>3.8</v>
      </c>
      <c r="D24" s="48"/>
    </row>
    <row r="25" spans="1:4" x14ac:dyDescent="0.3">
      <c r="A25" s="132">
        <v>4</v>
      </c>
      <c r="B25">
        <v>4</v>
      </c>
      <c r="D25" s="48"/>
    </row>
    <row r="26" spans="1:4" x14ac:dyDescent="0.3">
      <c r="A26" s="132"/>
      <c r="B26">
        <v>4.2</v>
      </c>
      <c r="D26" s="48"/>
    </row>
    <row r="27" spans="1:4" x14ac:dyDescent="0.3">
      <c r="A27" s="132">
        <v>4.5</v>
      </c>
      <c r="B27">
        <v>4.5</v>
      </c>
      <c r="D27" s="48"/>
    </row>
    <row r="28" spans="1:4" x14ac:dyDescent="0.3">
      <c r="A28" s="132"/>
      <c r="B28">
        <v>4.8</v>
      </c>
      <c r="D28" s="48"/>
    </row>
    <row r="29" spans="1:4" x14ac:dyDescent="0.3">
      <c r="A29" s="132">
        <v>5</v>
      </c>
      <c r="B29">
        <v>5</v>
      </c>
      <c r="D29" s="48"/>
    </row>
    <row r="30" spans="1:4" x14ac:dyDescent="0.3">
      <c r="A30" s="132"/>
      <c r="B30">
        <v>5.3</v>
      </c>
      <c r="D30" s="48"/>
    </row>
    <row r="31" spans="1:4" x14ac:dyDescent="0.3">
      <c r="A31" s="132">
        <v>5.6</v>
      </c>
      <c r="B31">
        <v>5.6</v>
      </c>
      <c r="D31" s="48"/>
    </row>
    <row r="32" spans="1:4" x14ac:dyDescent="0.3">
      <c r="A32" s="132"/>
      <c r="B32">
        <v>6</v>
      </c>
      <c r="D32" s="48"/>
    </row>
    <row r="33" spans="1:5" x14ac:dyDescent="0.3">
      <c r="A33" s="132">
        <v>6.3</v>
      </c>
      <c r="B33">
        <v>6.3</v>
      </c>
      <c r="D33" s="48"/>
    </row>
    <row r="34" spans="1:5" x14ac:dyDescent="0.3">
      <c r="A34" s="132"/>
      <c r="B34">
        <v>6.7</v>
      </c>
      <c r="D34" s="48"/>
    </row>
    <row r="35" spans="1:5" x14ac:dyDescent="0.3">
      <c r="A35" s="132">
        <v>7.1</v>
      </c>
      <c r="B35">
        <v>7.1</v>
      </c>
      <c r="D35" s="48"/>
    </row>
    <row r="36" spans="1:5" x14ac:dyDescent="0.3">
      <c r="A36" s="132"/>
      <c r="B36">
        <v>7.5</v>
      </c>
      <c r="D36" s="48"/>
    </row>
    <row r="37" spans="1:5" x14ac:dyDescent="0.3">
      <c r="A37" s="132">
        <v>8</v>
      </c>
      <c r="B37">
        <v>8</v>
      </c>
      <c r="D37" s="48"/>
    </row>
    <row r="38" spans="1:5" x14ac:dyDescent="0.3">
      <c r="A38" s="132"/>
      <c r="B38">
        <v>8.5</v>
      </c>
      <c r="D38" s="48"/>
    </row>
    <row r="39" spans="1:5" x14ac:dyDescent="0.3">
      <c r="A39" s="132">
        <v>9</v>
      </c>
      <c r="B39">
        <v>9</v>
      </c>
      <c r="D39" s="48"/>
    </row>
    <row r="40" spans="1:5" x14ac:dyDescent="0.3">
      <c r="A40" s="132"/>
      <c r="B40" s="60">
        <v>9.5</v>
      </c>
      <c r="D40" s="48"/>
      <c r="E40" s="60"/>
    </row>
    <row r="41" spans="1:5" x14ac:dyDescent="0.3">
      <c r="A41" s="132">
        <v>10</v>
      </c>
      <c r="B41" s="48">
        <v>10</v>
      </c>
    </row>
    <row r="42" spans="1:5" x14ac:dyDescent="0.3">
      <c r="A42" s="132"/>
      <c r="B42" s="48">
        <v>10.5</v>
      </c>
    </row>
    <row r="43" spans="1:5" x14ac:dyDescent="0.3">
      <c r="A43" s="132">
        <v>11</v>
      </c>
      <c r="B43" s="48">
        <v>11</v>
      </c>
    </row>
    <row r="44" spans="1:5" x14ac:dyDescent="0.3">
      <c r="A44" s="132"/>
      <c r="B44" s="48">
        <v>11.5</v>
      </c>
    </row>
    <row r="45" spans="1:5" x14ac:dyDescent="0.3">
      <c r="A45" s="132">
        <v>12</v>
      </c>
      <c r="B45" s="48">
        <v>12</v>
      </c>
    </row>
    <row r="46" spans="1:5" x14ac:dyDescent="0.3">
      <c r="A46" s="132"/>
      <c r="B46" s="48">
        <v>13</v>
      </c>
    </row>
    <row r="47" spans="1:5" x14ac:dyDescent="0.3">
      <c r="A47" s="132">
        <v>14</v>
      </c>
      <c r="B47" s="48">
        <v>14</v>
      </c>
    </row>
    <row r="48" spans="1:5" x14ac:dyDescent="0.3">
      <c r="A48" s="132"/>
      <c r="B48" s="48">
        <v>15</v>
      </c>
    </row>
    <row r="49" spans="1:2" x14ac:dyDescent="0.3">
      <c r="A49" s="132">
        <v>16</v>
      </c>
      <c r="B49" s="48">
        <v>16</v>
      </c>
    </row>
    <row r="50" spans="1:2" x14ac:dyDescent="0.3">
      <c r="A50" s="132"/>
      <c r="B50" s="48">
        <v>17</v>
      </c>
    </row>
    <row r="51" spans="1:2" x14ac:dyDescent="0.3">
      <c r="A51" s="132">
        <v>18</v>
      </c>
      <c r="B51" s="48">
        <v>18</v>
      </c>
    </row>
    <row r="52" spans="1:2" x14ac:dyDescent="0.3">
      <c r="A52" s="132"/>
      <c r="B52" s="48">
        <v>19</v>
      </c>
    </row>
    <row r="53" spans="1:2" x14ac:dyDescent="0.3">
      <c r="A53" s="132">
        <v>20</v>
      </c>
      <c r="B53" s="48">
        <v>20</v>
      </c>
    </row>
    <row r="54" spans="1:2" x14ac:dyDescent="0.3">
      <c r="A54" s="132"/>
      <c r="B54" s="48">
        <v>21</v>
      </c>
    </row>
    <row r="55" spans="1:2" x14ac:dyDescent="0.3">
      <c r="A55" s="132">
        <v>22</v>
      </c>
      <c r="B55" s="48">
        <v>22</v>
      </c>
    </row>
    <row r="56" spans="1:2" x14ac:dyDescent="0.3">
      <c r="A56" s="132"/>
      <c r="B56" s="48">
        <v>24</v>
      </c>
    </row>
    <row r="57" spans="1:2" x14ac:dyDescent="0.3">
      <c r="A57" s="132">
        <v>25</v>
      </c>
      <c r="B57" s="48">
        <v>25</v>
      </c>
    </row>
    <row r="58" spans="1:2" x14ac:dyDescent="0.3">
      <c r="A58" s="132"/>
      <c r="B58" s="48">
        <v>26</v>
      </c>
    </row>
    <row r="59" spans="1:2" x14ac:dyDescent="0.3">
      <c r="A59" s="132">
        <v>28</v>
      </c>
      <c r="B59" s="48">
        <v>28</v>
      </c>
    </row>
    <row r="60" spans="1:2" x14ac:dyDescent="0.3">
      <c r="A60" s="132"/>
      <c r="B60" s="48">
        <v>30</v>
      </c>
    </row>
    <row r="61" spans="1:2" x14ac:dyDescent="0.3">
      <c r="A61" s="132">
        <v>32</v>
      </c>
      <c r="B61" s="48">
        <v>32</v>
      </c>
    </row>
    <row r="62" spans="1:2" x14ac:dyDescent="0.3">
      <c r="A62" s="132"/>
      <c r="B62" s="48">
        <v>34</v>
      </c>
    </row>
    <row r="63" spans="1:2" x14ac:dyDescent="0.3">
      <c r="A63" s="132">
        <v>36</v>
      </c>
      <c r="B63" s="48">
        <v>36</v>
      </c>
    </row>
    <row r="64" spans="1:2" x14ac:dyDescent="0.3">
      <c r="A64" s="132"/>
      <c r="B64" s="48">
        <v>38</v>
      </c>
    </row>
    <row r="65" spans="1:2" x14ac:dyDescent="0.3">
      <c r="A65" s="132">
        <v>40</v>
      </c>
      <c r="B65" s="48">
        <v>40</v>
      </c>
    </row>
    <row r="66" spans="1:2" x14ac:dyDescent="0.3">
      <c r="A66" s="132"/>
      <c r="B66" s="48">
        <v>42</v>
      </c>
    </row>
    <row r="67" spans="1:2" x14ac:dyDescent="0.3">
      <c r="A67" s="132">
        <v>45</v>
      </c>
      <c r="B67" s="48">
        <v>45</v>
      </c>
    </row>
    <row r="68" spans="1:2" x14ac:dyDescent="0.3">
      <c r="A68" s="132"/>
      <c r="B68" s="48">
        <v>48</v>
      </c>
    </row>
    <row r="69" spans="1:2" x14ac:dyDescent="0.3">
      <c r="A69" s="132">
        <v>50</v>
      </c>
      <c r="B69" s="48">
        <v>50</v>
      </c>
    </row>
    <row r="70" spans="1:2" x14ac:dyDescent="0.3">
      <c r="A70" s="132"/>
      <c r="B70" s="48">
        <v>53</v>
      </c>
    </row>
    <row r="71" spans="1:2" x14ac:dyDescent="0.3">
      <c r="A71" s="132">
        <v>56</v>
      </c>
      <c r="B71" s="48">
        <v>56</v>
      </c>
    </row>
    <row r="72" spans="1:2" x14ac:dyDescent="0.3">
      <c r="A72" s="132"/>
      <c r="B72" s="48">
        <v>60</v>
      </c>
    </row>
    <row r="73" spans="1:2" x14ac:dyDescent="0.3">
      <c r="A73" s="132">
        <v>63</v>
      </c>
      <c r="B73" s="48">
        <v>63</v>
      </c>
    </row>
    <row r="74" spans="1:2" x14ac:dyDescent="0.3">
      <c r="A74" s="132"/>
      <c r="B74" s="48">
        <v>67</v>
      </c>
    </row>
    <row r="75" spans="1:2" x14ac:dyDescent="0.3">
      <c r="A75" s="132">
        <v>71</v>
      </c>
      <c r="B75" s="48">
        <v>71</v>
      </c>
    </row>
    <row r="76" spans="1:2" x14ac:dyDescent="0.3">
      <c r="A76" s="132"/>
      <c r="B76" s="48">
        <v>75</v>
      </c>
    </row>
    <row r="77" spans="1:2" x14ac:dyDescent="0.3">
      <c r="A77" s="132">
        <v>80</v>
      </c>
      <c r="B77" s="48">
        <v>80</v>
      </c>
    </row>
    <row r="78" spans="1:2" x14ac:dyDescent="0.3">
      <c r="A78" s="132"/>
      <c r="B78" s="48">
        <v>85</v>
      </c>
    </row>
    <row r="79" spans="1:2" x14ac:dyDescent="0.3">
      <c r="A79" s="132">
        <v>90</v>
      </c>
      <c r="B79" s="48">
        <v>90</v>
      </c>
    </row>
    <row r="80" spans="1:2" x14ac:dyDescent="0.3">
      <c r="A80" s="132"/>
      <c r="B80" s="48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B13" sqref="B13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117</v>
      </c>
      <c r="C1" s="48"/>
      <c r="D1" s="48"/>
    </row>
    <row r="2" spans="1:20" x14ac:dyDescent="0.3">
      <c r="A2">
        <v>4</v>
      </c>
      <c r="E2" s="110" t="s">
        <v>215</v>
      </c>
      <c r="F2" s="110"/>
      <c r="G2" s="110"/>
      <c r="H2" s="110"/>
      <c r="I2" s="110"/>
      <c r="J2" s="48"/>
      <c r="K2" s="48"/>
      <c r="L2" s="48"/>
      <c r="M2" s="48"/>
      <c r="N2" s="48"/>
      <c r="P2" s="48"/>
      <c r="Q2" s="48"/>
      <c r="R2" s="48"/>
      <c r="S2" s="48"/>
      <c r="T2" s="48"/>
    </row>
    <row r="3" spans="1:20" x14ac:dyDescent="0.3">
      <c r="A3">
        <v>5</v>
      </c>
      <c r="E3" s="153" t="s">
        <v>0</v>
      </c>
      <c r="F3" s="153"/>
      <c r="G3" s="153"/>
      <c r="H3" s="59">
        <f>Передача!$D$49</f>
        <v>2016</v>
      </c>
      <c r="I3" s="1" t="s">
        <v>152</v>
      </c>
      <c r="J3" s="48"/>
      <c r="P3" s="48"/>
    </row>
    <row r="4" spans="1:20" x14ac:dyDescent="0.3">
      <c r="A4">
        <v>6</v>
      </c>
      <c r="E4" s="153" t="s">
        <v>150</v>
      </c>
      <c r="F4" s="153"/>
      <c r="G4" s="153"/>
      <c r="H4" s="59">
        <f>Передача!$D$50</f>
        <v>734</v>
      </c>
      <c r="I4" s="1" t="s">
        <v>152</v>
      </c>
      <c r="J4" s="48"/>
      <c r="K4" s="48"/>
      <c r="L4" s="48"/>
    </row>
    <row r="5" spans="1:20" x14ac:dyDescent="0.3">
      <c r="A5">
        <v>7</v>
      </c>
      <c r="E5" s="153" t="s">
        <v>151</v>
      </c>
      <c r="F5" s="153"/>
      <c r="G5" s="153"/>
      <c r="H5" s="59">
        <f>Передача!$D$51</f>
        <v>0</v>
      </c>
      <c r="I5" s="1" t="s">
        <v>152</v>
      </c>
      <c r="J5" s="48"/>
      <c r="K5" s="48"/>
      <c r="L5" s="48"/>
      <c r="P5" s="48"/>
      <c r="Q5" s="48"/>
      <c r="R5" s="48"/>
    </row>
    <row r="6" spans="1:20" x14ac:dyDescent="0.3">
      <c r="A6">
        <v>8</v>
      </c>
      <c r="J6" s="48"/>
      <c r="K6" s="48"/>
      <c r="L6" s="48"/>
      <c r="M6" s="88"/>
      <c r="N6" s="88"/>
      <c r="O6" s="88"/>
      <c r="P6" s="98"/>
      <c r="Q6" s="98"/>
      <c r="R6" s="98"/>
      <c r="S6" s="88"/>
      <c r="T6" s="88"/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32" t="s">
        <v>287</v>
      </c>
      <c r="F9" s="132"/>
      <c r="G9" s="132"/>
      <c r="H9" s="132"/>
      <c r="I9" s="132"/>
      <c r="J9" s="132"/>
      <c r="K9" s="132"/>
      <c r="L9" s="132"/>
      <c r="M9" s="132"/>
    </row>
    <row r="10" spans="1:20" x14ac:dyDescent="0.3">
      <c r="A10">
        <v>17</v>
      </c>
      <c r="D10" s="1"/>
      <c r="E10" s="107">
        <v>200</v>
      </c>
      <c r="F10" s="108"/>
      <c r="G10" s="108"/>
      <c r="H10" s="108"/>
      <c r="I10" s="108"/>
      <c r="J10" s="107">
        <v>300</v>
      </c>
      <c r="K10" s="108"/>
      <c r="L10" s="108"/>
      <c r="M10" s="108"/>
      <c r="N10" s="115"/>
      <c r="O10" s="108">
        <v>400</v>
      </c>
      <c r="P10" s="108"/>
      <c r="Q10" s="108"/>
      <c r="R10" s="108"/>
      <c r="S10" s="115"/>
    </row>
    <row r="11" spans="1:20" x14ac:dyDescent="0.3">
      <c r="A11">
        <v>19</v>
      </c>
      <c r="E11" s="12" t="s">
        <v>284</v>
      </c>
      <c r="F11" s="4" t="s">
        <v>285</v>
      </c>
      <c r="G11" s="4" t="s">
        <v>286</v>
      </c>
      <c r="H11" s="4" t="s">
        <v>425</v>
      </c>
      <c r="I11" s="4" t="s">
        <v>426</v>
      </c>
      <c r="J11" s="12" t="s">
        <v>284</v>
      </c>
      <c r="K11" s="4" t="s">
        <v>285</v>
      </c>
      <c r="L11" s="4" t="s">
        <v>286</v>
      </c>
      <c r="M11" s="4" t="s">
        <v>425</v>
      </c>
      <c r="N11" s="4" t="s">
        <v>426</v>
      </c>
      <c r="O11" s="4" t="s">
        <v>284</v>
      </c>
      <c r="P11" s="4" t="s">
        <v>285</v>
      </c>
      <c r="Q11" s="4" t="s">
        <v>286</v>
      </c>
      <c r="R11" s="4" t="s">
        <v>425</v>
      </c>
      <c r="S11" s="4" t="s">
        <v>426</v>
      </c>
    </row>
    <row r="12" spans="1:20" x14ac:dyDescent="0.3">
      <c r="A12">
        <v>20</v>
      </c>
      <c r="B12">
        <v>4</v>
      </c>
      <c r="E12" s="7">
        <v>204</v>
      </c>
      <c r="F12" s="1">
        <v>47</v>
      </c>
      <c r="G12" s="1">
        <v>14</v>
      </c>
      <c r="H12" s="25">
        <v>12.7</v>
      </c>
      <c r="I12" s="25">
        <v>6.2</v>
      </c>
      <c r="J12" s="7">
        <v>304</v>
      </c>
      <c r="K12" s="1">
        <v>52</v>
      </c>
      <c r="L12" s="1">
        <v>15</v>
      </c>
      <c r="M12" s="25">
        <v>15.9</v>
      </c>
      <c r="N12" s="3">
        <v>7.8</v>
      </c>
      <c r="O12" s="1">
        <v>404</v>
      </c>
      <c r="P12" s="1"/>
      <c r="Q12" s="1"/>
      <c r="R12" s="1"/>
      <c r="S12" s="3"/>
    </row>
    <row r="13" spans="1:20" x14ac:dyDescent="0.3">
      <c r="A13">
        <v>25</v>
      </c>
      <c r="B13">
        <v>5</v>
      </c>
      <c r="E13" s="7">
        <v>205</v>
      </c>
      <c r="F13" s="1">
        <v>52</v>
      </c>
      <c r="G13" s="1">
        <v>15</v>
      </c>
      <c r="H13" s="25">
        <v>14</v>
      </c>
      <c r="I13" s="25">
        <v>6.95</v>
      </c>
      <c r="J13" s="7">
        <v>305</v>
      </c>
      <c r="K13" s="1">
        <v>62</v>
      </c>
      <c r="L13" s="1">
        <v>17</v>
      </c>
      <c r="M13" s="25">
        <v>22.5</v>
      </c>
      <c r="N13" s="3">
        <v>11.4</v>
      </c>
      <c r="O13" s="1">
        <v>405</v>
      </c>
      <c r="P13" s="1"/>
      <c r="Q13" s="1"/>
      <c r="R13" s="1"/>
      <c r="S13" s="3"/>
    </row>
    <row r="14" spans="1:20" x14ac:dyDescent="0.3">
      <c r="A14">
        <v>30</v>
      </c>
      <c r="B14">
        <v>6</v>
      </c>
      <c r="E14" s="7">
        <v>206</v>
      </c>
      <c r="F14" s="1">
        <v>62</v>
      </c>
      <c r="G14" s="1">
        <v>16</v>
      </c>
      <c r="H14" s="25">
        <v>19.5</v>
      </c>
      <c r="I14" s="25">
        <v>10</v>
      </c>
      <c r="J14" s="7">
        <v>306</v>
      </c>
      <c r="K14" s="1">
        <v>72</v>
      </c>
      <c r="L14" s="1">
        <v>19</v>
      </c>
      <c r="M14" s="25">
        <v>28.1</v>
      </c>
      <c r="N14" s="3">
        <v>14.6</v>
      </c>
      <c r="O14" s="1">
        <v>406</v>
      </c>
      <c r="P14" s="1"/>
      <c r="Q14" s="1"/>
      <c r="R14" s="1"/>
      <c r="S14" s="3"/>
    </row>
    <row r="15" spans="1:20" x14ac:dyDescent="0.3">
      <c r="A15">
        <v>35</v>
      </c>
      <c r="B15">
        <v>7</v>
      </c>
      <c r="D15" s="1"/>
      <c r="E15" s="7">
        <v>207</v>
      </c>
      <c r="F15" s="1">
        <v>72</v>
      </c>
      <c r="G15" s="1">
        <v>17</v>
      </c>
      <c r="H15" s="25">
        <v>25.5</v>
      </c>
      <c r="I15" s="25">
        <v>13.7</v>
      </c>
      <c r="J15" s="7">
        <v>307</v>
      </c>
      <c r="K15" s="1">
        <v>80</v>
      </c>
      <c r="L15" s="1">
        <v>21</v>
      </c>
      <c r="M15" s="25">
        <v>33.200000000000003</v>
      </c>
      <c r="N15" s="3">
        <v>18</v>
      </c>
      <c r="O15" s="1">
        <v>407</v>
      </c>
      <c r="P15" s="1"/>
      <c r="Q15" s="1"/>
      <c r="R15" s="1"/>
      <c r="S15" s="3"/>
    </row>
    <row r="16" spans="1:20" x14ac:dyDescent="0.3">
      <c r="A16">
        <v>40</v>
      </c>
      <c r="B16">
        <v>8</v>
      </c>
      <c r="E16" s="7">
        <v>208</v>
      </c>
      <c r="F16" s="1">
        <v>80</v>
      </c>
      <c r="G16" s="1">
        <v>18</v>
      </c>
      <c r="H16" s="25">
        <v>32</v>
      </c>
      <c r="I16" s="25">
        <v>17.8</v>
      </c>
      <c r="J16" s="7">
        <v>308</v>
      </c>
      <c r="K16" s="1">
        <v>90</v>
      </c>
      <c r="L16" s="1">
        <v>23</v>
      </c>
      <c r="M16" s="25">
        <v>41</v>
      </c>
      <c r="N16" s="3">
        <v>22.4</v>
      </c>
      <c r="O16" s="1">
        <v>408</v>
      </c>
      <c r="P16" s="1"/>
      <c r="Q16" s="1"/>
      <c r="R16" s="1"/>
      <c r="S16" s="3"/>
    </row>
    <row r="17" spans="1:19" x14ac:dyDescent="0.3">
      <c r="A17">
        <v>45</v>
      </c>
      <c r="B17">
        <v>9</v>
      </c>
      <c r="E17" s="7">
        <v>209</v>
      </c>
      <c r="F17" s="1">
        <v>85</v>
      </c>
      <c r="G17" s="1">
        <v>19</v>
      </c>
      <c r="H17" s="25">
        <v>33.200000000000003</v>
      </c>
      <c r="I17" s="25">
        <v>18.600000000000001</v>
      </c>
      <c r="J17" s="7">
        <v>309</v>
      </c>
      <c r="K17" s="1">
        <v>100</v>
      </c>
      <c r="L17" s="1">
        <v>25</v>
      </c>
      <c r="M17" s="25">
        <v>52.7</v>
      </c>
      <c r="N17" s="3">
        <v>30</v>
      </c>
      <c r="O17" s="1">
        <v>409</v>
      </c>
      <c r="P17" s="1"/>
      <c r="Q17" s="1"/>
      <c r="R17" s="1"/>
      <c r="S17" s="3"/>
    </row>
    <row r="18" spans="1:19" x14ac:dyDescent="0.3">
      <c r="A18">
        <v>50</v>
      </c>
      <c r="B18">
        <v>10</v>
      </c>
      <c r="E18" s="7">
        <v>210</v>
      </c>
      <c r="F18" s="1">
        <v>90</v>
      </c>
      <c r="G18" s="1">
        <v>20</v>
      </c>
      <c r="H18" s="25">
        <v>35.1</v>
      </c>
      <c r="I18" s="25">
        <v>19.8</v>
      </c>
      <c r="J18" s="7">
        <v>310</v>
      </c>
      <c r="K18" s="1">
        <v>110</v>
      </c>
      <c r="L18" s="1">
        <v>27</v>
      </c>
      <c r="M18" s="25">
        <v>61.8</v>
      </c>
      <c r="N18" s="3">
        <v>36</v>
      </c>
      <c r="O18" s="1">
        <v>410</v>
      </c>
      <c r="P18" s="1"/>
      <c r="Q18" s="1"/>
      <c r="R18" s="1"/>
      <c r="S18" s="3"/>
    </row>
    <row r="19" spans="1:19" x14ac:dyDescent="0.3">
      <c r="A19">
        <v>55</v>
      </c>
      <c r="B19">
        <v>11</v>
      </c>
      <c r="E19" s="7">
        <v>211</v>
      </c>
      <c r="F19" s="1">
        <v>100</v>
      </c>
      <c r="G19" s="1">
        <v>21</v>
      </c>
      <c r="H19" s="25">
        <v>43.6</v>
      </c>
      <c r="I19" s="25">
        <v>25</v>
      </c>
      <c r="J19" s="7">
        <v>311</v>
      </c>
      <c r="K19" s="1">
        <v>120</v>
      </c>
      <c r="L19" s="1">
        <v>29</v>
      </c>
      <c r="M19" s="25">
        <v>71.5</v>
      </c>
      <c r="N19" s="3">
        <v>41.5</v>
      </c>
      <c r="O19" s="1">
        <v>411</v>
      </c>
      <c r="P19" s="1"/>
      <c r="Q19" s="1"/>
      <c r="R19" s="1"/>
      <c r="S19" s="3"/>
    </row>
    <row r="20" spans="1:19" x14ac:dyDescent="0.3">
      <c r="A20">
        <v>60</v>
      </c>
      <c r="B20">
        <v>12</v>
      </c>
      <c r="E20" s="7">
        <v>212</v>
      </c>
      <c r="F20" s="1">
        <v>110</v>
      </c>
      <c r="G20" s="1">
        <v>22</v>
      </c>
      <c r="H20" s="25">
        <v>52</v>
      </c>
      <c r="I20" s="25">
        <v>31</v>
      </c>
      <c r="J20" s="7">
        <v>312</v>
      </c>
      <c r="K20" s="1">
        <v>130</v>
      </c>
      <c r="L20" s="1">
        <v>31</v>
      </c>
      <c r="M20" s="25">
        <v>81.900000000000006</v>
      </c>
      <c r="N20" s="3">
        <v>48</v>
      </c>
      <c r="O20" s="1">
        <v>412</v>
      </c>
      <c r="P20" s="1"/>
      <c r="Q20" s="1"/>
      <c r="R20" s="1"/>
      <c r="S20" s="3"/>
    </row>
    <row r="21" spans="1:19" x14ac:dyDescent="0.3">
      <c r="A21">
        <v>65</v>
      </c>
      <c r="B21">
        <v>13</v>
      </c>
      <c r="E21" s="7">
        <v>213</v>
      </c>
      <c r="F21" s="1">
        <v>120</v>
      </c>
      <c r="G21" s="1">
        <v>23</v>
      </c>
      <c r="H21" s="25">
        <v>56</v>
      </c>
      <c r="I21" s="25">
        <v>34</v>
      </c>
      <c r="J21" s="7">
        <v>313</v>
      </c>
      <c r="K21" s="1">
        <v>140</v>
      </c>
      <c r="L21" s="1">
        <v>33</v>
      </c>
      <c r="M21" s="25">
        <v>92.3</v>
      </c>
      <c r="N21" s="3">
        <v>56</v>
      </c>
      <c r="O21" s="1">
        <v>413</v>
      </c>
      <c r="P21" s="1"/>
      <c r="Q21" s="1"/>
      <c r="R21" s="1"/>
      <c r="S21" s="3"/>
    </row>
    <row r="22" spans="1:19" x14ac:dyDescent="0.3">
      <c r="A22">
        <v>70</v>
      </c>
      <c r="B22">
        <v>14</v>
      </c>
      <c r="E22" s="7">
        <v>214</v>
      </c>
      <c r="F22" s="1">
        <v>125</v>
      </c>
      <c r="G22" s="1">
        <v>24</v>
      </c>
      <c r="H22" s="25">
        <v>61.8</v>
      </c>
      <c r="I22" s="25">
        <v>37.5</v>
      </c>
      <c r="J22" s="7">
        <v>314</v>
      </c>
      <c r="K22" s="1">
        <v>150</v>
      </c>
      <c r="L22" s="1">
        <v>35</v>
      </c>
      <c r="M22" s="25">
        <v>104</v>
      </c>
      <c r="N22" s="3">
        <v>63</v>
      </c>
      <c r="O22" s="1">
        <v>414</v>
      </c>
      <c r="P22" s="1"/>
      <c r="Q22" s="1"/>
      <c r="R22" s="1"/>
      <c r="S22" s="3"/>
    </row>
    <row r="23" spans="1:19" x14ac:dyDescent="0.3">
      <c r="A23">
        <v>75</v>
      </c>
      <c r="B23">
        <v>15</v>
      </c>
      <c r="E23" s="7">
        <v>215</v>
      </c>
      <c r="F23" s="1">
        <v>130</v>
      </c>
      <c r="G23" s="1">
        <v>25</v>
      </c>
      <c r="H23" s="25">
        <v>66.3</v>
      </c>
      <c r="I23" s="25">
        <v>41</v>
      </c>
      <c r="J23" s="7">
        <v>315</v>
      </c>
      <c r="K23" s="1">
        <v>160</v>
      </c>
      <c r="L23" s="1">
        <v>37</v>
      </c>
      <c r="M23" s="25">
        <v>112</v>
      </c>
      <c r="N23" s="3">
        <v>72.5</v>
      </c>
      <c r="O23" s="1">
        <v>415</v>
      </c>
      <c r="P23" s="1"/>
      <c r="Q23" s="1"/>
      <c r="R23" s="1"/>
      <c r="S23" s="3"/>
    </row>
    <row r="24" spans="1:19" x14ac:dyDescent="0.3">
      <c r="A24">
        <v>80</v>
      </c>
      <c r="B24">
        <v>16</v>
      </c>
      <c r="E24" s="12">
        <v>216</v>
      </c>
      <c r="F24" s="4">
        <v>140</v>
      </c>
      <c r="G24" s="4">
        <v>26</v>
      </c>
      <c r="H24" s="4">
        <v>70.2</v>
      </c>
      <c r="I24" s="4">
        <v>45</v>
      </c>
      <c r="J24" s="12">
        <v>316</v>
      </c>
      <c r="K24" s="4">
        <v>170</v>
      </c>
      <c r="L24" s="4">
        <v>39</v>
      </c>
      <c r="M24" s="4">
        <v>124</v>
      </c>
      <c r="N24" s="5">
        <v>80</v>
      </c>
      <c r="O24" s="4">
        <v>416</v>
      </c>
      <c r="P24" s="4"/>
      <c r="Q24" s="4"/>
      <c r="R24" s="4"/>
      <c r="S24" s="5"/>
    </row>
    <row r="25" spans="1:19" x14ac:dyDescent="0.3">
      <c r="A25">
        <v>85</v>
      </c>
      <c r="B25">
        <v>17</v>
      </c>
    </row>
    <row r="26" spans="1:19" x14ac:dyDescent="0.3">
      <c r="A26">
        <v>90</v>
      </c>
      <c r="B26">
        <v>18</v>
      </c>
    </row>
    <row r="27" spans="1:19" x14ac:dyDescent="0.3">
      <c r="A27">
        <v>95</v>
      </c>
      <c r="B27">
        <v>19</v>
      </c>
    </row>
    <row r="28" spans="1:19" x14ac:dyDescent="0.3">
      <c r="A28">
        <v>100</v>
      </c>
      <c r="B28">
        <v>20</v>
      </c>
    </row>
    <row r="29" spans="1:19" x14ac:dyDescent="0.3">
      <c r="A29">
        <v>105</v>
      </c>
      <c r="B29">
        <v>21</v>
      </c>
    </row>
    <row r="30" spans="1:19" x14ac:dyDescent="0.3">
      <c r="A30">
        <v>110</v>
      </c>
      <c r="B30">
        <v>22</v>
      </c>
    </row>
    <row r="31" spans="1:19" x14ac:dyDescent="0.3">
      <c r="A31">
        <v>115</v>
      </c>
      <c r="B31">
        <v>23</v>
      </c>
    </row>
    <row r="32" spans="1:19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10:I10"/>
    <mergeCell ref="J10:N10"/>
    <mergeCell ref="O10:S10"/>
    <mergeCell ref="E2:I2"/>
    <mergeCell ref="E3:G3"/>
    <mergeCell ref="E4:G4"/>
    <mergeCell ref="E9:M9"/>
    <mergeCell ref="E5:G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K13" sqref="K13"/>
    </sheetView>
  </sheetViews>
  <sheetFormatPr defaultRowHeight="14.4" x14ac:dyDescent="0.3"/>
  <cols>
    <col min="1" max="18" width="6.77734375" customWidth="1"/>
  </cols>
  <sheetData>
    <row r="1" spans="1:12" x14ac:dyDescent="0.3">
      <c r="A1" s="132" t="s">
        <v>254</v>
      </c>
      <c r="B1" s="132"/>
      <c r="C1" s="132" t="s">
        <v>175</v>
      </c>
      <c r="D1" s="132"/>
      <c r="E1" s="132" t="s">
        <v>261</v>
      </c>
      <c r="F1" s="132"/>
      <c r="G1" s="132" t="s">
        <v>264</v>
      </c>
      <c r="H1" s="132"/>
      <c r="I1" s="132"/>
      <c r="J1" s="132"/>
      <c r="K1" s="132"/>
    </row>
    <row r="2" spans="1:12" x14ac:dyDescent="0.3">
      <c r="A2" s="132"/>
      <c r="B2" s="132"/>
      <c r="C2" s="132" t="s">
        <v>262</v>
      </c>
      <c r="D2" s="132"/>
      <c r="E2" s="132" t="s">
        <v>263</v>
      </c>
      <c r="F2" s="132"/>
      <c r="G2" s="89" t="s">
        <v>265</v>
      </c>
      <c r="H2" s="89" t="s">
        <v>266</v>
      </c>
      <c r="I2" s="89" t="s">
        <v>267</v>
      </c>
      <c r="J2" s="89" t="s">
        <v>268</v>
      </c>
      <c r="K2" s="89" t="s">
        <v>269</v>
      </c>
      <c r="L2" s="89" t="s">
        <v>270</v>
      </c>
    </row>
    <row r="3" spans="1:12" x14ac:dyDescent="0.3">
      <c r="A3" s="132" t="s">
        <v>255</v>
      </c>
      <c r="B3" s="132"/>
      <c r="C3" s="132">
        <v>1000</v>
      </c>
      <c r="D3" s="132"/>
      <c r="E3" s="132">
        <v>190</v>
      </c>
      <c r="F3" s="132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32">
        <v>45</v>
      </c>
      <c r="B4" s="132"/>
      <c r="C4" s="132">
        <v>120</v>
      </c>
      <c r="D4" s="132"/>
      <c r="E4" s="132">
        <v>227</v>
      </c>
      <c r="F4" s="132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32">
        <v>45</v>
      </c>
      <c r="B5" s="132"/>
      <c r="C5" s="132">
        <v>80</v>
      </c>
      <c r="D5" s="132"/>
      <c r="E5" s="132">
        <v>260</v>
      </c>
      <c r="F5" s="132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32" t="s">
        <v>256</v>
      </c>
      <c r="B6" s="132"/>
      <c r="C6" s="132">
        <v>200</v>
      </c>
      <c r="D6" s="132"/>
      <c r="E6" s="132">
        <v>240</v>
      </c>
      <c r="F6" s="132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32" t="s">
        <v>256</v>
      </c>
      <c r="B7" s="132"/>
      <c r="C7" s="132">
        <v>120</v>
      </c>
      <c r="D7" s="132"/>
      <c r="E7" s="132">
        <v>270</v>
      </c>
      <c r="F7" s="132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32" t="s">
        <v>257</v>
      </c>
      <c r="B8" s="132"/>
      <c r="C8" s="132">
        <v>200</v>
      </c>
      <c r="D8" s="132"/>
      <c r="E8" s="132">
        <v>270</v>
      </c>
      <c r="F8" s="132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32" t="s">
        <v>258</v>
      </c>
      <c r="B9" s="132"/>
      <c r="C9" s="132">
        <v>120</v>
      </c>
      <c r="D9" s="132"/>
      <c r="E9" s="132">
        <v>197</v>
      </c>
      <c r="F9" s="132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32" t="s">
        <v>259</v>
      </c>
      <c r="B10" s="132"/>
      <c r="C10" s="132">
        <v>120</v>
      </c>
      <c r="D10" s="132"/>
      <c r="E10" s="132">
        <v>260</v>
      </c>
      <c r="F10" s="132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32" t="s">
        <v>260</v>
      </c>
      <c r="B11" s="132"/>
      <c r="C11" s="132">
        <v>60</v>
      </c>
      <c r="D11" s="132"/>
      <c r="E11" s="132">
        <v>330</v>
      </c>
      <c r="F11" s="132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A5:B5"/>
    <mergeCell ref="A7:B7"/>
    <mergeCell ref="A11:B11"/>
    <mergeCell ref="A3:B3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силы</vt:lpstr>
      <vt:lpstr>Корпус</vt:lpstr>
      <vt:lpstr>барабан</vt:lpstr>
      <vt:lpstr>Муфта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2026-04-28T13:37:48Z</dcterms:modified>
</cp:coreProperties>
</file>