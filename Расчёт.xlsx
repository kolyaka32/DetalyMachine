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Downloads\интститут\курсач детмаш\"/>
    </mc:Choice>
  </mc:AlternateContent>
  <xr:revisionPtr revIDLastSave="0" documentId="13_ncr:1_{2939E34B-5052-4F0D-9610-E457AC857C9F}" xr6:coauthVersionLast="47" xr6:coauthVersionMax="47" xr10:uidLastSave="{00000000-0000-0000-0000-000000000000}"/>
  <bookViews>
    <workbookView xWindow="-108" yWindow="-108" windowWidth="23256" windowHeight="12456" activeTab="1" xr2:uid="{7E097F76-7D13-4899-AD2E-10ADA644057F}"/>
  </bookViews>
  <sheets>
    <sheet name="Электродвигатель" sheetId="1" r:id="rId1"/>
    <sheet name="Передача" sheetId="2" r:id="rId2"/>
    <sheet name="Вал" sheetId="4" r:id="rId3"/>
    <sheet name="Корпус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4" i="2"/>
  <c r="X40" i="2"/>
  <c r="Q40" i="2"/>
  <c r="V40" i="2"/>
  <c r="O40" i="2"/>
  <c r="E7" i="2"/>
  <c r="E9" i="2"/>
  <c r="E16" i="2"/>
  <c r="E14" i="2"/>
  <c r="E15" i="2"/>
  <c r="E6" i="2"/>
  <c r="E5" i="2"/>
  <c r="E4" i="2"/>
  <c r="E3" i="2"/>
  <c r="E2" i="2"/>
  <c r="E10" i="2"/>
  <c r="T58" i="1"/>
  <c r="N58" i="1"/>
  <c r="X53" i="1"/>
  <c r="T52" i="1"/>
  <c r="N52" i="1"/>
  <c r="K57" i="1"/>
  <c r="K56" i="1"/>
  <c r="K52" i="1"/>
  <c r="K54" i="1"/>
  <c r="K53" i="1"/>
  <c r="F53" i="1" l="1"/>
  <c r="F54" i="1" s="1"/>
  <c r="X41" i="1"/>
  <c r="T43" i="1"/>
  <c r="T42" i="1"/>
  <c r="T41" i="1"/>
  <c r="P41" i="1"/>
  <c r="L43" i="1"/>
  <c r="L44" i="1"/>
  <c r="L42" i="1"/>
  <c r="L41" i="1"/>
  <c r="I42" i="1"/>
  <c r="I43" i="1"/>
  <c r="I44" i="1"/>
  <c r="W44" i="1" s="1"/>
  <c r="Y44" i="1" s="1"/>
  <c r="I45" i="1"/>
  <c r="I46" i="1"/>
  <c r="I41" i="1"/>
  <c r="K41" i="1" s="1"/>
  <c r="AK4" i="1"/>
  <c r="AJ4" i="1" s="1"/>
  <c r="AK5" i="1"/>
  <c r="AJ5" i="1" s="1"/>
  <c r="AK6" i="1"/>
  <c r="AJ6" i="1" s="1"/>
  <c r="AK7" i="1"/>
  <c r="AJ7" i="1" s="1"/>
  <c r="AK8" i="1"/>
  <c r="AJ8" i="1" s="1"/>
  <c r="AK9" i="1"/>
  <c r="AJ9" i="1" s="1"/>
  <c r="AK10" i="1"/>
  <c r="AJ10" i="1" s="1"/>
  <c r="AK3" i="1"/>
  <c r="AJ3" i="1" s="1"/>
  <c r="AI10" i="1"/>
  <c r="AH10" i="1"/>
  <c r="AH9" i="1"/>
  <c r="AI9" i="1"/>
  <c r="AI8" i="1"/>
  <c r="AH8" i="1"/>
  <c r="AI7" i="1"/>
  <c r="AH7" i="1"/>
  <c r="AI6" i="1"/>
  <c r="AH6" i="1"/>
  <c r="AI5" i="1"/>
  <c r="AH5" i="1"/>
  <c r="AI4" i="1"/>
  <c r="AH4" i="1"/>
  <c r="AI3" i="1"/>
  <c r="AH3" i="1"/>
  <c r="X46" i="1"/>
  <c r="X43" i="1"/>
  <c r="X42" i="1"/>
  <c r="T46" i="1"/>
  <c r="P46" i="1"/>
  <c r="F48" i="1" s="1"/>
  <c r="W45" i="1"/>
  <c r="Y45" i="1" s="1"/>
  <c r="V4" i="1"/>
  <c r="V5" i="1"/>
  <c r="V6" i="1"/>
  <c r="V7" i="1"/>
  <c r="V8" i="1"/>
  <c r="V9" i="1"/>
  <c r="V10" i="1"/>
  <c r="V11" i="1"/>
  <c r="M8" i="1" s="1"/>
  <c r="M9" i="1" s="1"/>
  <c r="V12" i="1"/>
  <c r="V3" i="1"/>
  <c r="M2" i="1"/>
  <c r="F52" i="1" l="1"/>
  <c r="M41" i="1"/>
  <c r="O41" i="1"/>
  <c r="S41" i="1"/>
  <c r="U41" i="1" s="1"/>
  <c r="O45" i="1"/>
  <c r="Q45" i="1" s="1"/>
  <c r="S44" i="1"/>
  <c r="U44" i="1" s="1"/>
  <c r="W41" i="1"/>
  <c r="Y41" i="1" s="1"/>
  <c r="S45" i="1"/>
  <c r="U45" i="1" s="1"/>
  <c r="O44" i="1"/>
  <c r="Q44" i="1" s="1"/>
  <c r="K45" i="1"/>
  <c r="M45" i="1" s="1"/>
  <c r="K44" i="1"/>
  <c r="M44" i="1" s="1"/>
  <c r="M11" i="1"/>
  <c r="I36" i="1" s="1"/>
  <c r="R36" i="1" s="1"/>
  <c r="Q41" i="1" l="1"/>
  <c r="K55" i="1" s="1"/>
  <c r="F59" i="1" s="1"/>
  <c r="F60" i="1" s="1"/>
  <c r="F49" i="1"/>
  <c r="L55" i="1" s="1"/>
  <c r="R39" i="1"/>
  <c r="M36" i="1"/>
  <c r="W36" i="1"/>
  <c r="T36" i="1"/>
  <c r="Q36" i="1"/>
  <c r="F57" i="1" s="1"/>
  <c r="F58" i="1" s="1"/>
  <c r="S36" i="1"/>
  <c r="L36" i="1"/>
  <c r="Y36" i="1"/>
  <c r="X36" i="1"/>
  <c r="P36" i="1"/>
  <c r="V36" i="1"/>
  <c r="V39" i="1" s="1"/>
  <c r="Z36" i="1"/>
  <c r="Z39" i="1" s="1"/>
  <c r="O36" i="1"/>
  <c r="U36" i="1"/>
  <c r="N36" i="1"/>
  <c r="N39" i="1" s="1"/>
  <c r="K36" i="1"/>
  <c r="F50" i="1" l="1"/>
  <c r="F51" i="1" s="1"/>
  <c r="O42" i="1"/>
  <c r="O43" i="1"/>
  <c r="Q43" i="1" s="1"/>
  <c r="O46" i="1"/>
  <c r="Q46" i="1" s="1"/>
  <c r="W46" i="1"/>
  <c r="Y46" i="1" s="1"/>
  <c r="W42" i="1"/>
  <c r="Y42" i="1" s="1"/>
  <c r="W43" i="1"/>
  <c r="Y43" i="1" s="1"/>
  <c r="K43" i="1"/>
  <c r="M43" i="1" s="1"/>
  <c r="K42" i="1"/>
  <c r="M42" i="1" s="1"/>
  <c r="K46" i="1"/>
  <c r="M46" i="1" s="1"/>
  <c r="S42" i="1"/>
  <c r="U42" i="1" s="1"/>
  <c r="S43" i="1"/>
  <c r="U43" i="1" s="1"/>
  <c r="S46" i="1"/>
  <c r="U46" i="1" s="1"/>
  <c r="F55" i="1" l="1"/>
  <c r="P52" i="1" s="1"/>
  <c r="Q42" i="1"/>
  <c r="R42" i="1" s="1"/>
  <c r="N42" i="1"/>
  <c r="N41" i="1"/>
  <c r="N44" i="1"/>
  <c r="N43" i="1"/>
  <c r="N46" i="1"/>
  <c r="N45" i="1"/>
  <c r="R45" i="1"/>
  <c r="R41" i="1"/>
  <c r="R44" i="1"/>
  <c r="R43" i="1"/>
  <c r="R46" i="1"/>
  <c r="V44" i="1"/>
  <c r="V43" i="1"/>
  <c r="V46" i="1"/>
  <c r="V41" i="1"/>
  <c r="V45" i="1"/>
  <c r="V42" i="1"/>
  <c r="Z46" i="1"/>
  <c r="Z41" i="1"/>
  <c r="Z43" i="1"/>
  <c r="Z44" i="1"/>
  <c r="Z42" i="1"/>
  <c r="Z45" i="1"/>
  <c r="N48" i="1" l="1"/>
  <c r="P53" i="1"/>
  <c r="F56" i="1"/>
  <c r="P54" i="1" l="1"/>
  <c r="T53" i="1"/>
  <c r="N53" i="1"/>
  <c r="R52" i="1"/>
  <c r="P55" i="1" l="1"/>
  <c r="T55" i="1" s="1"/>
  <c r="T54" i="1"/>
  <c r="U53" i="1" s="1"/>
  <c r="N54" i="1"/>
  <c r="R53" i="1"/>
  <c r="P56" i="1" l="1"/>
  <c r="T56" i="1" s="1"/>
  <c r="N55" i="1"/>
  <c r="R54" i="1"/>
  <c r="P57" i="1" l="1"/>
  <c r="T57" i="1" s="1"/>
  <c r="N56" i="1"/>
  <c r="R55" i="1"/>
  <c r="P58" i="1" l="1"/>
  <c r="U55" i="1"/>
  <c r="N57" i="1"/>
  <c r="R57" i="1" s="1"/>
  <c r="R56" i="1"/>
</calcChain>
</file>

<file path=xl/sharedStrings.xml><?xml version="1.0" encoding="utf-8"?>
<sst xmlns="http://schemas.openxmlformats.org/spreadsheetml/2006/main" count="281" uniqueCount="183">
  <si>
    <t>Окружная сила</t>
  </si>
  <si>
    <t>Скорость ленты</t>
  </si>
  <si>
    <t>Максимальный КПД</t>
  </si>
  <si>
    <t>Целевой показатель</t>
  </si>
  <si>
    <t>кН</t>
  </si>
  <si>
    <t>м/с</t>
  </si>
  <si>
    <t>Расчётный ресурс</t>
  </si>
  <si>
    <t>Ветоятность безотказной работы</t>
  </si>
  <si>
    <t>Режим нагружения</t>
  </si>
  <si>
    <t>Предельная перегрузка</t>
  </si>
  <si>
    <t>Дано</t>
  </si>
  <si>
    <t>часов</t>
  </si>
  <si>
    <t>Все подвижные части накрыты кожухами</t>
  </si>
  <si>
    <t>Конструктивные требования</t>
  </si>
  <si>
    <t>Требования безопасности</t>
  </si>
  <si>
    <t>Ширина ленты</t>
  </si>
  <si>
    <t>мм</t>
  </si>
  <si>
    <t>Расположение вала</t>
  </si>
  <si>
    <t>горизонтальное</t>
  </si>
  <si>
    <t>Высота</t>
  </si>
  <si>
    <t>+-60мм</t>
  </si>
  <si>
    <t>Объём выпуска</t>
  </si>
  <si>
    <t>шт/год</t>
  </si>
  <si>
    <t>Схема</t>
  </si>
  <si>
    <t>Дигатель-&gt;Муфта-&gt;Редуктор-&gt;Муфта-&gt;Барабан</t>
  </si>
  <si>
    <t>Количество</t>
  </si>
  <si>
    <t>Опоры</t>
  </si>
  <si>
    <t>КПД</t>
  </si>
  <si>
    <t>Муфта</t>
  </si>
  <si>
    <t>Передача</t>
  </si>
  <si>
    <t>КПД от</t>
  </si>
  <si>
    <t>КПД до</t>
  </si>
  <si>
    <t>Планетарная 1</t>
  </si>
  <si>
    <t>Планетарная 2</t>
  </si>
  <si>
    <t>Волновая</t>
  </si>
  <si>
    <t>Червячная (&gt;30)</t>
  </si>
  <si>
    <t>Червячная (14-30)</t>
  </si>
  <si>
    <t>Червячная (8-14)</t>
  </si>
  <si>
    <t>Ременная</t>
  </si>
  <si>
    <t>Цепная</t>
  </si>
  <si>
    <t>ГОСТ 22647 (ленточный транспортёр)</t>
  </si>
  <si>
    <t>Передаточное отношение</t>
  </si>
  <si>
    <t>Частота барабана</t>
  </si>
  <si>
    <t>Параметры барабана</t>
  </si>
  <si>
    <t>Передаточное от/до</t>
  </si>
  <si>
    <t>Прямозубая 2</t>
  </si>
  <si>
    <t>Коническо-цилиндрический</t>
  </si>
  <si>
    <t>Червячная 1</t>
  </si>
  <si>
    <t>Коническая 1</t>
  </si>
  <si>
    <t>Коническая</t>
  </si>
  <si>
    <t>КПД без редуктора и мотора:</t>
  </si>
  <si>
    <t>Предварительное КПД редуктора</t>
  </si>
  <si>
    <t>Передачи отсортированы по возрастанию КПД</t>
  </si>
  <si>
    <t>Цифра в передаче указывает количество ступеней</t>
  </si>
  <si>
    <t>Потребляемая мощность [кВт]</t>
  </si>
  <si>
    <t>Мощность двигателя [кВт]</t>
  </si>
  <si>
    <t>Максимум:</t>
  </si>
  <si>
    <t>-</t>
  </si>
  <si>
    <t>71А2</t>
  </si>
  <si>
    <t>71B2</t>
  </si>
  <si>
    <t>80A2</t>
  </si>
  <si>
    <t>90L2</t>
  </si>
  <si>
    <t>100S2</t>
  </si>
  <si>
    <t>100L2</t>
  </si>
  <si>
    <t>112M2</t>
  </si>
  <si>
    <t>132M2</t>
  </si>
  <si>
    <t>160S2</t>
  </si>
  <si>
    <t>160M2</t>
  </si>
  <si>
    <t>180S2</t>
  </si>
  <si>
    <t>180M2</t>
  </si>
  <si>
    <t>Частота</t>
  </si>
  <si>
    <t>макс/ном</t>
  </si>
  <si>
    <t>Тип</t>
  </si>
  <si>
    <t>71А4</t>
  </si>
  <si>
    <t>71B4</t>
  </si>
  <si>
    <t>80A4</t>
  </si>
  <si>
    <t>90L4</t>
  </si>
  <si>
    <t>100S4</t>
  </si>
  <si>
    <t>100L4</t>
  </si>
  <si>
    <t>112M4</t>
  </si>
  <si>
    <t>132S4</t>
  </si>
  <si>
    <t>132M4</t>
  </si>
  <si>
    <t>160S4</t>
  </si>
  <si>
    <t>160M4</t>
  </si>
  <si>
    <t>180S4</t>
  </si>
  <si>
    <t>180M4</t>
  </si>
  <si>
    <t>80B4</t>
  </si>
  <si>
    <t>80B2</t>
  </si>
  <si>
    <t>132S6</t>
  </si>
  <si>
    <t>132M6</t>
  </si>
  <si>
    <t>160S6</t>
  </si>
  <si>
    <t>132M8</t>
  </si>
  <si>
    <t>160S8</t>
  </si>
  <si>
    <t>160M8</t>
  </si>
  <si>
    <t>Редуктор</t>
  </si>
  <si>
    <t>Подшипники</t>
  </si>
  <si>
    <t>Частота мотора</t>
  </si>
  <si>
    <t>Момент барабана</t>
  </si>
  <si>
    <t>Момент двигателя</t>
  </si>
  <si>
    <t>Мощность требуемая</t>
  </si>
  <si>
    <t>Н*м</t>
  </si>
  <si>
    <t>?</t>
  </si>
  <si>
    <t>Перегрузка мотора</t>
  </si>
  <si>
    <t>Перегрузка максимальная</t>
  </si>
  <si>
    <t>Угловая скорость мотора</t>
  </si>
  <si>
    <t>1/мин</t>
  </si>
  <si>
    <t>об/с</t>
  </si>
  <si>
    <t>Диаметр барабана</t>
  </si>
  <si>
    <t>кВт</t>
  </si>
  <si>
    <t>КПД механический</t>
  </si>
  <si>
    <t>Тип передачи</t>
  </si>
  <si>
    <t>КПД суммарный</t>
  </si>
  <si>
    <t>КПД (при 0)</t>
  </si>
  <si>
    <t>Наклон</t>
  </si>
  <si>
    <t>Элемент</t>
  </si>
  <si>
    <t>Частота 1/мин</t>
  </si>
  <si>
    <t>Момент Н*м</t>
  </si>
  <si>
    <t>Двигатель</t>
  </si>
  <si>
    <t>Мощность [кВт]</t>
  </si>
  <si>
    <t>Частота [1/мин]</t>
  </si>
  <si>
    <t>Диаметр</t>
  </si>
  <si>
    <t>Варианты:</t>
  </si>
  <si>
    <t>Отношение</t>
  </si>
  <si>
    <t>Частота поля</t>
  </si>
  <si>
    <t>Редуктор:</t>
  </si>
  <si>
    <t>Страницы в атласе</t>
  </si>
  <si>
    <t>Колесо</t>
  </si>
  <si>
    <t>238-239</t>
  </si>
  <si>
    <t>193-194</t>
  </si>
  <si>
    <t>Страницы в pdf</t>
  </si>
  <si>
    <t>Квалитет шестерни</t>
  </si>
  <si>
    <t>Вариант передачи</t>
  </si>
  <si>
    <t>Прямозубая/коническая/шевронная</t>
  </si>
  <si>
    <t>6/7/8/9</t>
  </si>
  <si>
    <t>Цилиндрическая 1</t>
  </si>
  <si>
    <t>Цилиндрическая</t>
  </si>
  <si>
    <t>Вопросы:</t>
  </si>
  <si>
    <t>Как определить квалитет от массовости производтсва?</t>
  </si>
  <si>
    <t>Нормальный</t>
  </si>
  <si>
    <t>Диаметр вала [мм]</t>
  </si>
  <si>
    <t>Диаметр вала электродвигателя</t>
  </si>
  <si>
    <t>28 не подходит</t>
  </si>
  <si>
    <t>Отношение:</t>
  </si>
  <si>
    <t>Барабан</t>
  </si>
  <si>
    <t>Параметры передачи</t>
  </si>
  <si>
    <t>Параметры производства</t>
  </si>
  <si>
    <t>Параметры валов</t>
  </si>
  <si>
    <t>Диаметр быстроходного</t>
  </si>
  <si>
    <t>Диаметр тихоходного</t>
  </si>
  <si>
    <t>Диаметр электродвигателя</t>
  </si>
  <si>
    <t>Объём партии</t>
  </si>
  <si>
    <t>Ресурс</t>
  </si>
  <si>
    <t>Коэф. Ширины</t>
  </si>
  <si>
    <t>Межосевое расстояние</t>
  </si>
  <si>
    <t>HRC шестерни</t>
  </si>
  <si>
    <t>HRC колеса</t>
  </si>
  <si>
    <t>Масса механизма</t>
  </si>
  <si>
    <t>Прямозубый вариант</t>
  </si>
  <si>
    <t>Межосевое расстояние мм</t>
  </si>
  <si>
    <t>Диаметр впадин шестерни мм</t>
  </si>
  <si>
    <t>Вариант</t>
  </si>
  <si>
    <t>Масса колеса</t>
  </si>
  <si>
    <t>Модуль</t>
  </si>
  <si>
    <t>кг</t>
  </si>
  <si>
    <t>Радиальная сила</t>
  </si>
  <si>
    <t>Осевая сила</t>
  </si>
  <si>
    <t>Н</t>
  </si>
  <si>
    <t>Параметр</t>
  </si>
  <si>
    <t>Шестрерня</t>
  </si>
  <si>
    <t>Число зубьев</t>
  </si>
  <si>
    <t>Делительный</t>
  </si>
  <si>
    <t>Диаметры [мм]</t>
  </si>
  <si>
    <t>Впадин</t>
  </si>
  <si>
    <t>Вершин</t>
  </si>
  <si>
    <t>Ширина</t>
  </si>
  <si>
    <t>Твёрдость</t>
  </si>
  <si>
    <t>Смещение</t>
  </si>
  <si>
    <t>K быстроходного вала</t>
  </si>
  <si>
    <t>Налазит на вал</t>
  </si>
  <si>
    <t>Обработка</t>
  </si>
  <si>
    <t>ТВЧ</t>
  </si>
  <si>
    <t>Улучшение</t>
  </si>
  <si>
    <t>Подходит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</si>
</sst>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0" formatCode="0.0"/>
  </numFmts>
  <fonts count="3" x14ac:knownFonts="1">
    <font>
      <sz val="11"/>
      <color theme="1"/>
      <name val="Calibri"/>
      <family val="2"/>
      <charset val="204"/>
      <scheme val="minor"/>
    </font>
    <font>
      <sz val="10.5"/>
      <color theme="1"/>
      <name val="Courier New"/>
      <family val="3"/>
      <charset val="204"/>
    </font>
    <font>
      <sz val="11"/>
      <color theme="1"/>
      <name val="Courier New"/>
      <family val="3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Border="1"/>
    <xf numFmtId="0" fontId="0" fillId="0" borderId="5" xfId="0" quotePrefix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6" xfId="0" applyBorder="1"/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/>
    <xf numFmtId="0" fontId="0" fillId="0" borderId="1" xfId="0" applyBorder="1" applyAlignment="1"/>
    <xf numFmtId="0" fontId="0" fillId="0" borderId="2" xfId="0" applyBorder="1" applyAlignment="1"/>
    <xf numFmtId="2" fontId="0" fillId="2" borderId="2" xfId="0" applyNumberFormat="1" applyFill="1" applyBorder="1"/>
    <xf numFmtId="2" fontId="0" fillId="2" borderId="0" xfId="0" applyNumberFormat="1" applyFill="1" applyBorder="1"/>
    <xf numFmtId="0" fontId="0" fillId="2" borderId="0" xfId="0" applyFill="1" applyBorder="1"/>
    <xf numFmtId="0" fontId="0" fillId="2" borderId="7" xfId="0" applyFill="1" applyBorder="1"/>
    <xf numFmtId="0" fontId="0" fillId="0" borderId="5" xfId="0" applyFill="1" applyBorder="1"/>
    <xf numFmtId="0" fontId="0" fillId="0" borderId="0" xfId="0" quotePrefix="1" applyBorder="1"/>
    <xf numFmtId="0" fontId="0" fillId="0" borderId="0" xfId="0" applyFill="1" applyBorder="1"/>
    <xf numFmtId="0" fontId="0" fillId="0" borderId="4" xfId="0" quotePrefix="1" applyBorder="1"/>
    <xf numFmtId="0" fontId="0" fillId="0" borderId="6" xfId="0" applyBorder="1" applyAlignment="1"/>
    <xf numFmtId="164" fontId="0" fillId="0" borderId="0" xfId="0" applyNumberFormat="1" applyFill="1" applyBorder="1"/>
    <xf numFmtId="0" fontId="0" fillId="0" borderId="3" xfId="0" applyFill="1" applyBorder="1"/>
    <xf numFmtId="2" fontId="0" fillId="0" borderId="0" xfId="0" applyNumberFormat="1" applyBorder="1"/>
    <xf numFmtId="2" fontId="0" fillId="0" borderId="2" xfId="0" applyNumberFormat="1" applyBorder="1"/>
    <xf numFmtId="2" fontId="0" fillId="0" borderId="7" xfId="0" applyNumberFormat="1" applyBorder="1"/>
    <xf numFmtId="0" fontId="0" fillId="0" borderId="2" xfId="0" applyBorder="1" applyAlignment="1">
      <alignment horizontal="center"/>
    </xf>
    <xf numFmtId="2" fontId="0" fillId="0" borderId="4" xfId="0" applyNumberFormat="1" applyFill="1" applyBorder="1" applyAlignment="1">
      <alignment horizontal="center" vertical="center"/>
    </xf>
    <xf numFmtId="2" fontId="0" fillId="0" borderId="0" xfId="0" applyNumberFormat="1" applyFill="1" applyBorder="1"/>
    <xf numFmtId="2" fontId="0" fillId="0" borderId="0" xfId="0" applyNumberFormat="1" applyBorder="1" applyAlignment="1">
      <alignment horizontal="center" vertical="center"/>
    </xf>
    <xf numFmtId="0" fontId="0" fillId="0" borderId="7" xfId="0" applyFill="1" applyBorder="1"/>
    <xf numFmtId="2" fontId="0" fillId="3" borderId="1" xfId="0" applyNumberFormat="1" applyFill="1" applyBorder="1" applyAlignment="1">
      <alignment horizontal="center" vertical="center"/>
    </xf>
    <xf numFmtId="0" fontId="0" fillId="3" borderId="2" xfId="0" applyFill="1" applyBorder="1"/>
    <xf numFmtId="2" fontId="0" fillId="3" borderId="2" xfId="0" applyNumberFormat="1" applyFill="1" applyBorder="1"/>
    <xf numFmtId="0" fontId="0" fillId="3" borderId="10" xfId="0" applyFill="1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0" xfId="0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170" fontId="0" fillId="3" borderId="0" xfId="0" applyNumberFormat="1" applyFill="1" applyBorder="1" applyAlignment="1">
      <alignment horizontal="center"/>
    </xf>
    <xf numFmtId="170" fontId="0" fillId="3" borderId="5" xfId="0" applyNumberFormat="1" applyFill="1" applyBorder="1" applyAlignment="1">
      <alignment horizontal="center"/>
    </xf>
    <xf numFmtId="170" fontId="0" fillId="0" borderId="0" xfId="0" applyNumberFormat="1" applyBorder="1" applyAlignment="1">
      <alignment horizontal="center"/>
    </xf>
    <xf numFmtId="170" fontId="0" fillId="0" borderId="5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/>
    <xf numFmtId="2" fontId="0" fillId="0" borderId="2" xfId="0" applyNumberFormat="1" applyBorder="1" applyAlignment="1">
      <alignment horizontal="center"/>
    </xf>
    <xf numFmtId="2" fontId="0" fillId="0" borderId="4" xfId="0" applyNumberFormat="1" applyBorder="1"/>
    <xf numFmtId="1" fontId="0" fillId="0" borderId="2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6" borderId="0" xfId="0" applyFill="1" applyBorder="1"/>
    <xf numFmtId="0" fontId="0" fillId="6" borderId="0" xfId="0" applyFill="1" applyBorder="1" applyAlignment="1"/>
    <xf numFmtId="2" fontId="0" fillId="6" borderId="0" xfId="0" applyNumberFormat="1" applyFill="1" applyBorder="1" applyAlignment="1"/>
    <xf numFmtId="0" fontId="0" fillId="5" borderId="0" xfId="0" applyFill="1" applyBorder="1" applyAlignment="1">
      <alignment horizontal="center"/>
    </xf>
    <xf numFmtId="0" fontId="0" fillId="0" borderId="0" xfId="0" applyAlignment="1"/>
    <xf numFmtId="0" fontId="0" fillId="0" borderId="0" xfId="0" applyFill="1" applyBorder="1" applyAlignment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Fill="1" applyAlignment="1">
      <alignment horizontal="left"/>
    </xf>
    <xf numFmtId="0" fontId="0" fillId="7" borderId="0" xfId="0" applyFill="1"/>
    <xf numFmtId="2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5" borderId="7" xfId="0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7" xfId="0" applyFill="1" applyBorder="1" applyAlignment="1"/>
    <xf numFmtId="0" fontId="0" fillId="6" borderId="4" xfId="0" applyFill="1" applyBorder="1"/>
    <xf numFmtId="0" fontId="1" fillId="0" borderId="0" xfId="0" applyFont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579120</xdr:colOff>
      <xdr:row>17</xdr:row>
      <xdr:rowOff>129540</xdr:rowOff>
    </xdr:from>
    <xdr:to>
      <xdr:col>29</xdr:col>
      <xdr:colOff>247400</xdr:colOff>
      <xdr:row>45</xdr:row>
      <xdr:rowOff>124539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86946C7-18E7-4C53-9483-5AB1F1EDA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5520" y="3238500"/>
          <a:ext cx="11860280" cy="5115639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0</xdr:row>
      <xdr:rowOff>0</xdr:rowOff>
    </xdr:from>
    <xdr:to>
      <xdr:col>15</xdr:col>
      <xdr:colOff>318623</xdr:colOff>
      <xdr:row>16</xdr:row>
      <xdr:rowOff>8029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4BC5CB4-C806-4EA9-BFAE-4CDC53016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6460" y="0"/>
          <a:ext cx="3496163" cy="2934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CC72-8A25-4698-8914-B1180636D74D}">
  <dimension ref="A1:AK65"/>
  <sheetViews>
    <sheetView topLeftCell="A37" workbookViewId="0">
      <selection activeCell="I60" sqref="I60"/>
    </sheetView>
  </sheetViews>
  <sheetFormatPr defaultRowHeight="14.4" x14ac:dyDescent="0.3"/>
  <cols>
    <col min="1" max="28" width="6.77734375" customWidth="1"/>
  </cols>
  <sheetData>
    <row r="1" spans="1:37" x14ac:dyDescent="0.3">
      <c r="A1" s="48" t="s">
        <v>10</v>
      </c>
      <c r="B1" s="49"/>
      <c r="C1" s="49"/>
      <c r="D1" s="49"/>
      <c r="E1" s="49"/>
      <c r="F1" s="49"/>
      <c r="G1" s="6"/>
    </row>
    <row r="2" spans="1:37" x14ac:dyDescent="0.3">
      <c r="A2" s="48" t="s">
        <v>0</v>
      </c>
      <c r="B2" s="49"/>
      <c r="C2" s="49"/>
      <c r="D2" s="49"/>
      <c r="E2" s="19">
        <v>4</v>
      </c>
      <c r="F2" s="8" t="s">
        <v>4</v>
      </c>
      <c r="G2" s="6"/>
      <c r="I2" s="48" t="s">
        <v>54</v>
      </c>
      <c r="J2" s="49"/>
      <c r="K2" s="49"/>
      <c r="L2" s="49"/>
      <c r="M2" s="49">
        <f>E2*E3</f>
        <v>6.4</v>
      </c>
      <c r="N2" s="50"/>
      <c r="Q2" s="48" t="s">
        <v>29</v>
      </c>
      <c r="R2" s="49"/>
      <c r="S2" s="49"/>
      <c r="T2" s="8" t="s">
        <v>30</v>
      </c>
      <c r="U2" s="8" t="s">
        <v>31</v>
      </c>
      <c r="V2" s="6" t="s">
        <v>27</v>
      </c>
      <c r="AC2" s="48" t="s">
        <v>29</v>
      </c>
      <c r="AD2" s="49"/>
      <c r="AE2" s="49"/>
      <c r="AF2" s="8" t="s">
        <v>44</v>
      </c>
      <c r="AG2" s="8"/>
      <c r="AH2" s="8" t="s">
        <v>30</v>
      </c>
      <c r="AI2" s="8" t="s">
        <v>31</v>
      </c>
      <c r="AJ2" s="8" t="s">
        <v>112</v>
      </c>
      <c r="AK2" s="29" t="s">
        <v>113</v>
      </c>
    </row>
    <row r="3" spans="1:37" x14ac:dyDescent="0.3">
      <c r="A3" s="42" t="s">
        <v>1</v>
      </c>
      <c r="B3" s="43"/>
      <c r="C3" s="43"/>
      <c r="D3" s="43"/>
      <c r="E3" s="20">
        <v>1.6</v>
      </c>
      <c r="F3" s="1" t="s">
        <v>5</v>
      </c>
      <c r="G3" s="3"/>
      <c r="I3" s="42" t="s">
        <v>23</v>
      </c>
      <c r="J3" s="43"/>
      <c r="K3" s="43"/>
      <c r="L3" s="43"/>
      <c r="M3" s="43"/>
      <c r="N3" s="53"/>
      <c r="Q3" s="42" t="s">
        <v>135</v>
      </c>
      <c r="R3" s="43"/>
      <c r="S3" s="43"/>
      <c r="T3" s="1">
        <v>0.96</v>
      </c>
      <c r="U3" s="1">
        <v>0.98</v>
      </c>
      <c r="V3" s="3">
        <f>AVERAGE(T3:U3)</f>
        <v>0.97</v>
      </c>
      <c r="AC3" s="42" t="s">
        <v>134</v>
      </c>
      <c r="AD3" s="43"/>
      <c r="AE3" s="43"/>
      <c r="AF3" s="1">
        <v>1.6</v>
      </c>
      <c r="AG3" s="1">
        <v>8</v>
      </c>
      <c r="AH3" s="1">
        <f t="shared" ref="AH3:AI5" si="0">T3</f>
        <v>0.96</v>
      </c>
      <c r="AI3" s="1">
        <f t="shared" si="0"/>
        <v>0.98</v>
      </c>
      <c r="AJ3" s="1">
        <f>AI3+AK3*AF3</f>
        <v>0.98499999999999999</v>
      </c>
      <c r="AK3" s="3">
        <f>(AI3-AH3)/(AG3-AF3)</f>
        <v>3.1250000000000028E-3</v>
      </c>
    </row>
    <row r="4" spans="1:37" x14ac:dyDescent="0.3">
      <c r="A4" s="42" t="s">
        <v>3</v>
      </c>
      <c r="B4" s="43"/>
      <c r="C4" s="43"/>
      <c r="D4" s="43"/>
      <c r="E4" s="44" t="s">
        <v>2</v>
      </c>
      <c r="F4" s="44"/>
      <c r="G4" s="45"/>
      <c r="I4" s="42" t="s">
        <v>24</v>
      </c>
      <c r="J4" s="43"/>
      <c r="K4" s="43"/>
      <c r="L4" s="43"/>
      <c r="M4" s="43"/>
      <c r="N4" s="53"/>
      <c r="Q4" s="42" t="s">
        <v>49</v>
      </c>
      <c r="R4" s="43"/>
      <c r="S4" s="43"/>
      <c r="T4" s="1">
        <v>0.95</v>
      </c>
      <c r="U4" s="1">
        <v>0.97</v>
      </c>
      <c r="V4" s="3">
        <f t="shared" ref="V4:V12" si="1">AVERAGE(T4:U4)</f>
        <v>0.96</v>
      </c>
      <c r="AC4" s="42" t="s">
        <v>48</v>
      </c>
      <c r="AD4" s="43"/>
      <c r="AE4" s="43"/>
      <c r="AF4" s="1">
        <v>1</v>
      </c>
      <c r="AG4" s="1">
        <v>6.3</v>
      </c>
      <c r="AH4" s="1">
        <f t="shared" si="0"/>
        <v>0.95</v>
      </c>
      <c r="AI4" s="1">
        <f t="shared" si="0"/>
        <v>0.97</v>
      </c>
      <c r="AJ4" s="1">
        <f t="shared" ref="AJ4:AJ10" si="2">AI4+AK4*AF4</f>
        <v>0.97377358490566035</v>
      </c>
      <c r="AK4" s="3">
        <f t="shared" ref="AK4:AK10" si="3">(AI4-AH4)/(AG4-AF4)</f>
        <v>3.7735849056603809E-3</v>
      </c>
    </row>
    <row r="5" spans="1:37" x14ac:dyDescent="0.3">
      <c r="A5" s="42" t="s">
        <v>6</v>
      </c>
      <c r="B5" s="43"/>
      <c r="C5" s="43"/>
      <c r="D5" s="43"/>
      <c r="E5" s="21">
        <v>10000</v>
      </c>
      <c r="F5" s="1" t="s">
        <v>11</v>
      </c>
      <c r="G5" s="3"/>
      <c r="I5" s="7"/>
      <c r="J5" s="1"/>
      <c r="K5" s="43" t="s">
        <v>25</v>
      </c>
      <c r="L5" s="43"/>
      <c r="M5" s="43" t="s">
        <v>27</v>
      </c>
      <c r="N5" s="53"/>
      <c r="Q5" s="42" t="s">
        <v>32</v>
      </c>
      <c r="R5" s="43"/>
      <c r="S5" s="43"/>
      <c r="T5" s="1">
        <v>0.95</v>
      </c>
      <c r="U5" s="1">
        <v>0.97</v>
      </c>
      <c r="V5" s="3">
        <f t="shared" si="1"/>
        <v>0.96</v>
      </c>
      <c r="AC5" s="42" t="s">
        <v>32</v>
      </c>
      <c r="AD5" s="43"/>
      <c r="AE5" s="43"/>
      <c r="AF5" s="1">
        <v>3.15</v>
      </c>
      <c r="AG5" s="1">
        <v>8</v>
      </c>
      <c r="AH5" s="1">
        <f t="shared" si="0"/>
        <v>0.95</v>
      </c>
      <c r="AI5" s="1">
        <f t="shared" si="0"/>
        <v>0.97</v>
      </c>
      <c r="AJ5" s="1">
        <f t="shared" si="2"/>
        <v>0.98298969072164943</v>
      </c>
      <c r="AK5" s="3">
        <f t="shared" si="3"/>
        <v>4.1237113402061891E-3</v>
      </c>
    </row>
    <row r="6" spans="1:37" x14ac:dyDescent="0.3">
      <c r="A6" s="42" t="s">
        <v>7</v>
      </c>
      <c r="B6" s="43"/>
      <c r="C6" s="43"/>
      <c r="D6" s="43"/>
      <c r="E6" s="21">
        <v>0.9</v>
      </c>
      <c r="F6" s="1"/>
      <c r="G6" s="3"/>
      <c r="I6" s="42" t="s">
        <v>26</v>
      </c>
      <c r="J6" s="43"/>
      <c r="K6" s="44">
        <v>2</v>
      </c>
      <c r="L6" s="44"/>
      <c r="M6" s="43">
        <v>0.99</v>
      </c>
      <c r="N6" s="53"/>
      <c r="Q6" s="42" t="s">
        <v>33</v>
      </c>
      <c r="R6" s="43"/>
      <c r="S6" s="43"/>
      <c r="T6" s="1">
        <v>0.92</v>
      </c>
      <c r="U6" s="1">
        <v>0.96</v>
      </c>
      <c r="V6" s="3">
        <f t="shared" si="1"/>
        <v>0.94</v>
      </c>
      <c r="AC6" s="42" t="s">
        <v>45</v>
      </c>
      <c r="AD6" s="43"/>
      <c r="AE6" s="43"/>
      <c r="AF6" s="1">
        <v>12.5</v>
      </c>
      <c r="AG6" s="1">
        <v>31.5</v>
      </c>
      <c r="AH6" s="1">
        <f>T3*T3</f>
        <v>0.92159999999999997</v>
      </c>
      <c r="AI6" s="1">
        <f>U3*U3</f>
        <v>0.96039999999999992</v>
      </c>
      <c r="AJ6" s="1">
        <f t="shared" si="2"/>
        <v>0.98592631578947354</v>
      </c>
      <c r="AK6" s="3">
        <f t="shared" si="3"/>
        <v>2.042105263157892E-3</v>
      </c>
    </row>
    <row r="7" spans="1:37" x14ac:dyDescent="0.3">
      <c r="A7" s="42" t="s">
        <v>8</v>
      </c>
      <c r="B7" s="43"/>
      <c r="C7" s="43"/>
      <c r="D7" s="43"/>
      <c r="E7" s="21">
        <v>3</v>
      </c>
      <c r="F7" s="1"/>
      <c r="G7" s="3"/>
      <c r="I7" s="42" t="s">
        <v>28</v>
      </c>
      <c r="J7" s="43"/>
      <c r="K7" s="44">
        <v>2</v>
      </c>
      <c r="L7" s="44"/>
      <c r="M7" s="43">
        <v>0.98</v>
      </c>
      <c r="N7" s="53"/>
      <c r="Q7" s="42" t="s">
        <v>34</v>
      </c>
      <c r="R7" s="43"/>
      <c r="S7" s="43"/>
      <c r="T7" s="1">
        <v>0.72</v>
      </c>
      <c r="U7" s="1">
        <v>0.82</v>
      </c>
      <c r="V7" s="3">
        <f t="shared" si="1"/>
        <v>0.77</v>
      </c>
      <c r="AC7" s="42" t="s">
        <v>33</v>
      </c>
      <c r="AD7" s="43"/>
      <c r="AE7" s="43"/>
      <c r="AF7" s="1">
        <v>16</v>
      </c>
      <c r="AG7" s="1">
        <v>63</v>
      </c>
      <c r="AH7" s="1">
        <f>T6</f>
        <v>0.92</v>
      </c>
      <c r="AI7" s="1">
        <f>U6</f>
        <v>0.96</v>
      </c>
      <c r="AJ7" s="1">
        <f t="shared" si="2"/>
        <v>0.97361702127659566</v>
      </c>
      <c r="AK7" s="3">
        <f t="shared" si="3"/>
        <v>8.5106382978723241E-4</v>
      </c>
    </row>
    <row r="8" spans="1:37" x14ac:dyDescent="0.3">
      <c r="A8" s="46" t="s">
        <v>9</v>
      </c>
      <c r="B8" s="47"/>
      <c r="C8" s="47"/>
      <c r="D8" s="47"/>
      <c r="E8" s="22">
        <v>2.2000000000000002</v>
      </c>
      <c r="F8" s="4"/>
      <c r="G8" s="5"/>
      <c r="I8" s="42" t="s">
        <v>29</v>
      </c>
      <c r="J8" s="43"/>
      <c r="K8" s="44">
        <v>0</v>
      </c>
      <c r="L8" s="44"/>
      <c r="M8" s="60">
        <f>V11</f>
        <v>0.95</v>
      </c>
      <c r="N8" s="74"/>
      <c r="Q8" s="42" t="s">
        <v>35</v>
      </c>
      <c r="R8" s="43"/>
      <c r="S8" s="43"/>
      <c r="T8" s="1">
        <v>0.7</v>
      </c>
      <c r="U8" s="1">
        <v>0.8</v>
      </c>
      <c r="V8" s="3">
        <f t="shared" si="1"/>
        <v>0.75</v>
      </c>
      <c r="AC8" s="42" t="s">
        <v>46</v>
      </c>
      <c r="AD8" s="43"/>
      <c r="AE8" s="43"/>
      <c r="AF8" s="1">
        <v>10</v>
      </c>
      <c r="AG8" s="1">
        <v>30</v>
      </c>
      <c r="AH8" s="1">
        <f>T4*T3</f>
        <v>0.91199999999999992</v>
      </c>
      <c r="AI8" s="1">
        <f>U4*U3</f>
        <v>0.9506</v>
      </c>
      <c r="AJ8" s="1">
        <f t="shared" si="2"/>
        <v>0.96989999999999998</v>
      </c>
      <c r="AK8" s="3">
        <f t="shared" si="3"/>
        <v>1.930000000000004E-3</v>
      </c>
    </row>
    <row r="9" spans="1:37" x14ac:dyDescent="0.3">
      <c r="A9" s="55" t="s">
        <v>14</v>
      </c>
      <c r="B9" s="56"/>
      <c r="C9" s="56"/>
      <c r="D9" s="56"/>
      <c r="E9" s="56"/>
      <c r="F9" s="56"/>
      <c r="G9" s="70"/>
      <c r="I9" s="42" t="s">
        <v>50</v>
      </c>
      <c r="J9" s="43"/>
      <c r="K9" s="43"/>
      <c r="L9" s="43"/>
      <c r="M9" s="58">
        <f>M7^K7*M6^K6*M8^K8</f>
        <v>0.94128803999999988</v>
      </c>
      <c r="N9" s="59"/>
      <c r="Q9" s="42" t="s">
        <v>36</v>
      </c>
      <c r="R9" s="43"/>
      <c r="S9" s="43"/>
      <c r="T9" s="1">
        <v>0.75</v>
      </c>
      <c r="U9" s="1">
        <v>0.85</v>
      </c>
      <c r="V9" s="3">
        <f t="shared" si="1"/>
        <v>0.8</v>
      </c>
      <c r="AC9" s="42" t="s">
        <v>47</v>
      </c>
      <c r="AD9" s="43"/>
      <c r="AE9" s="43"/>
      <c r="AF9" s="1">
        <v>8</v>
      </c>
      <c r="AG9" s="1">
        <v>63</v>
      </c>
      <c r="AH9" s="1">
        <f>T8</f>
        <v>0.7</v>
      </c>
      <c r="AI9" s="1">
        <f>U10</f>
        <v>0.9</v>
      </c>
      <c r="AJ9" s="1">
        <f t="shared" si="2"/>
        <v>0.92909090909090908</v>
      </c>
      <c r="AK9" s="3">
        <f t="shared" si="3"/>
        <v>3.6363636363636377E-3</v>
      </c>
    </row>
    <row r="10" spans="1:37" x14ac:dyDescent="0.3">
      <c r="A10" s="71" t="s">
        <v>12</v>
      </c>
      <c r="B10" s="72"/>
      <c r="C10" s="72"/>
      <c r="D10" s="72"/>
      <c r="E10" s="72"/>
      <c r="F10" s="72"/>
      <c r="G10" s="73"/>
      <c r="I10" s="42" t="s">
        <v>51</v>
      </c>
      <c r="J10" s="43"/>
      <c r="K10" s="43"/>
      <c r="L10" s="43"/>
      <c r="M10" s="44">
        <v>0.97</v>
      </c>
      <c r="N10" s="45"/>
      <c r="Q10" s="42" t="s">
        <v>37</v>
      </c>
      <c r="R10" s="43"/>
      <c r="S10" s="43"/>
      <c r="T10" s="1">
        <v>0.8</v>
      </c>
      <c r="U10" s="1">
        <v>0.9</v>
      </c>
      <c r="V10" s="3">
        <f t="shared" si="1"/>
        <v>0.85000000000000009</v>
      </c>
      <c r="AC10" s="46" t="s">
        <v>34</v>
      </c>
      <c r="AD10" s="47"/>
      <c r="AE10" s="47"/>
      <c r="AF10" s="4">
        <v>70</v>
      </c>
      <c r="AG10" s="4">
        <v>320</v>
      </c>
      <c r="AH10" s="4">
        <f>T7</f>
        <v>0.72</v>
      </c>
      <c r="AI10" s="4">
        <f>U7</f>
        <v>0.82</v>
      </c>
      <c r="AJ10" s="4">
        <f t="shared" si="2"/>
        <v>0.84799999999999998</v>
      </c>
      <c r="AK10" s="5">
        <f t="shared" si="3"/>
        <v>3.9999999999999991E-4</v>
      </c>
    </row>
    <row r="11" spans="1:37" x14ac:dyDescent="0.3">
      <c r="A11" s="55" t="s">
        <v>13</v>
      </c>
      <c r="B11" s="56"/>
      <c r="C11" s="56"/>
      <c r="D11" s="56"/>
      <c r="E11" s="56"/>
      <c r="F11" s="56"/>
      <c r="G11" s="70"/>
      <c r="I11" s="46" t="s">
        <v>55</v>
      </c>
      <c r="J11" s="47"/>
      <c r="K11" s="47"/>
      <c r="L11" s="47"/>
      <c r="M11" s="51">
        <f>M2/M10/M9</f>
        <v>7.0094783572623509</v>
      </c>
      <c r="N11" s="52"/>
      <c r="Q11" s="42" t="s">
        <v>38</v>
      </c>
      <c r="R11" s="43"/>
      <c r="S11" s="43"/>
      <c r="T11" s="1">
        <v>0.94</v>
      </c>
      <c r="U11" s="1">
        <v>0.96</v>
      </c>
      <c r="V11" s="3">
        <f t="shared" si="1"/>
        <v>0.95</v>
      </c>
      <c r="AC11" s="16"/>
      <c r="AD11" s="16"/>
      <c r="AE11" s="16"/>
      <c r="AF11" s="1"/>
      <c r="AG11" s="1"/>
      <c r="AH11" s="1"/>
    </row>
    <row r="12" spans="1:37" x14ac:dyDescent="0.3">
      <c r="A12" s="48" t="s">
        <v>17</v>
      </c>
      <c r="B12" s="49"/>
      <c r="C12" s="49"/>
      <c r="D12" s="49"/>
      <c r="E12" s="49" t="s">
        <v>18</v>
      </c>
      <c r="F12" s="49"/>
      <c r="G12" s="50"/>
      <c r="Q12" s="46" t="s">
        <v>39</v>
      </c>
      <c r="R12" s="47"/>
      <c r="S12" s="47"/>
      <c r="T12" s="4">
        <v>0.92</v>
      </c>
      <c r="U12" s="4">
        <v>0.95</v>
      </c>
      <c r="V12" s="5">
        <f t="shared" si="1"/>
        <v>0.93500000000000005</v>
      </c>
      <c r="AC12" t="s">
        <v>52</v>
      </c>
    </row>
    <row r="13" spans="1:37" x14ac:dyDescent="0.3">
      <c r="A13" s="42" t="s">
        <v>19</v>
      </c>
      <c r="B13" s="43"/>
      <c r="C13" s="43"/>
      <c r="D13" s="43"/>
      <c r="E13" s="21">
        <v>400</v>
      </c>
      <c r="F13" s="1" t="s">
        <v>16</v>
      </c>
      <c r="G13" s="2" t="s">
        <v>20</v>
      </c>
      <c r="AC13" t="s">
        <v>53</v>
      </c>
    </row>
    <row r="14" spans="1:37" x14ac:dyDescent="0.3">
      <c r="A14" s="42" t="s">
        <v>15</v>
      </c>
      <c r="B14" s="43"/>
      <c r="C14" s="43"/>
      <c r="D14" s="43"/>
      <c r="E14" s="21">
        <v>400</v>
      </c>
      <c r="F14" s="1" t="s">
        <v>16</v>
      </c>
      <c r="G14" s="3"/>
    </row>
    <row r="15" spans="1:37" x14ac:dyDescent="0.3">
      <c r="A15" s="46" t="s">
        <v>21</v>
      </c>
      <c r="B15" s="47"/>
      <c r="C15" s="47"/>
      <c r="D15" s="47"/>
      <c r="E15" s="22">
        <v>300</v>
      </c>
      <c r="F15" s="4" t="s">
        <v>22</v>
      </c>
      <c r="G15" s="5"/>
    </row>
    <row r="19" spans="9:26" x14ac:dyDescent="0.3">
      <c r="I19" s="48" t="s">
        <v>123</v>
      </c>
      <c r="J19" s="50"/>
      <c r="K19" s="48">
        <v>3000</v>
      </c>
      <c r="L19" s="49"/>
      <c r="M19" s="49"/>
      <c r="N19" s="50"/>
      <c r="O19" s="49">
        <v>1500</v>
      </c>
      <c r="P19" s="49"/>
      <c r="Q19" s="49"/>
      <c r="R19" s="49"/>
      <c r="S19" s="48">
        <v>1000</v>
      </c>
      <c r="T19" s="49"/>
      <c r="U19" s="49"/>
      <c r="V19" s="50"/>
      <c r="W19" s="49">
        <v>750</v>
      </c>
      <c r="X19" s="49"/>
      <c r="Y19" s="49"/>
      <c r="Z19" s="50"/>
    </row>
    <row r="20" spans="9:26" x14ac:dyDescent="0.3">
      <c r="I20" s="46" t="s">
        <v>118</v>
      </c>
      <c r="J20" s="54"/>
      <c r="K20" s="12" t="s">
        <v>72</v>
      </c>
      <c r="L20" s="4" t="s">
        <v>70</v>
      </c>
      <c r="M20" s="4" t="s">
        <v>71</v>
      </c>
      <c r="N20" s="5" t="s">
        <v>27</v>
      </c>
      <c r="O20" s="4" t="s">
        <v>72</v>
      </c>
      <c r="P20" s="4" t="s">
        <v>70</v>
      </c>
      <c r="Q20" s="4" t="s">
        <v>71</v>
      </c>
      <c r="R20" s="4" t="s">
        <v>27</v>
      </c>
      <c r="S20" s="12" t="s">
        <v>72</v>
      </c>
      <c r="T20" s="4" t="s">
        <v>70</v>
      </c>
      <c r="U20" s="4" t="s">
        <v>71</v>
      </c>
      <c r="V20" s="5" t="s">
        <v>27</v>
      </c>
      <c r="W20" s="4" t="s">
        <v>72</v>
      </c>
      <c r="X20" s="4" t="s">
        <v>70</v>
      </c>
      <c r="Y20" s="4" t="s">
        <v>71</v>
      </c>
      <c r="Z20" s="5" t="s">
        <v>27</v>
      </c>
    </row>
    <row r="21" spans="9:26" x14ac:dyDescent="0.3">
      <c r="I21" s="42">
        <v>0.37</v>
      </c>
      <c r="J21" s="43"/>
      <c r="K21" s="26" t="s">
        <v>57</v>
      </c>
      <c r="L21" s="24">
        <v>0</v>
      </c>
      <c r="M21" s="1">
        <v>0</v>
      </c>
      <c r="N21" s="3">
        <v>0</v>
      </c>
      <c r="O21" s="24" t="s">
        <v>57</v>
      </c>
      <c r="P21" s="24">
        <v>0</v>
      </c>
      <c r="Q21" s="1">
        <v>0</v>
      </c>
      <c r="R21" s="1">
        <v>0</v>
      </c>
      <c r="S21" s="7"/>
      <c r="T21" s="1"/>
      <c r="U21" s="1"/>
      <c r="V21" s="3"/>
      <c r="W21" s="1"/>
      <c r="X21" s="1"/>
      <c r="Y21" s="1"/>
      <c r="Z21" s="3"/>
    </row>
    <row r="22" spans="9:26" x14ac:dyDescent="0.3">
      <c r="I22" s="42">
        <v>0.55000000000000004</v>
      </c>
      <c r="J22" s="43"/>
      <c r="K22" s="26" t="s">
        <v>57</v>
      </c>
      <c r="L22" s="24">
        <v>0</v>
      </c>
      <c r="M22" s="1">
        <v>0</v>
      </c>
      <c r="N22" s="3">
        <v>0</v>
      </c>
      <c r="O22" s="1" t="s">
        <v>73</v>
      </c>
      <c r="P22" s="1">
        <v>1357</v>
      </c>
      <c r="Q22" s="1">
        <v>2.2000000000000002</v>
      </c>
      <c r="R22" s="1"/>
      <c r="S22" s="7"/>
      <c r="T22" s="1"/>
      <c r="U22" s="1"/>
      <c r="V22" s="3"/>
      <c r="W22" s="1"/>
      <c r="X22" s="1"/>
      <c r="Y22" s="1"/>
      <c r="Z22" s="3"/>
    </row>
    <row r="23" spans="9:26" x14ac:dyDescent="0.3">
      <c r="I23" s="42">
        <v>0.75</v>
      </c>
      <c r="J23" s="43"/>
      <c r="K23" s="7" t="s">
        <v>58</v>
      </c>
      <c r="L23" s="1">
        <v>2820</v>
      </c>
      <c r="M23" s="1">
        <v>2.2000000000000002</v>
      </c>
      <c r="N23" s="3">
        <v>0.75</v>
      </c>
      <c r="O23" s="1" t="s">
        <v>74</v>
      </c>
      <c r="P23" s="1">
        <v>1350</v>
      </c>
      <c r="Q23" s="1">
        <v>2.2000000000000002</v>
      </c>
      <c r="R23" s="1"/>
      <c r="S23" s="7"/>
      <c r="T23" s="1"/>
      <c r="U23" s="1"/>
      <c r="V23" s="3"/>
      <c r="W23" s="1"/>
      <c r="X23" s="1"/>
      <c r="Y23" s="1"/>
      <c r="Z23" s="3"/>
    </row>
    <row r="24" spans="9:26" x14ac:dyDescent="0.3">
      <c r="I24" s="42">
        <v>1.1000000000000001</v>
      </c>
      <c r="J24" s="43"/>
      <c r="K24" s="7" t="s">
        <v>59</v>
      </c>
      <c r="L24" s="1">
        <v>2805</v>
      </c>
      <c r="M24" s="1">
        <v>2.2000000000000002</v>
      </c>
      <c r="N24" s="23">
        <v>0.77</v>
      </c>
      <c r="O24" s="1" t="s">
        <v>75</v>
      </c>
      <c r="P24" s="1">
        <v>1395</v>
      </c>
      <c r="Q24" s="1">
        <v>2.2000000000000002</v>
      </c>
      <c r="R24" s="1"/>
      <c r="S24" s="7"/>
      <c r="T24" s="1"/>
      <c r="U24" s="1"/>
      <c r="V24" s="3"/>
      <c r="W24" s="1"/>
      <c r="X24" s="1"/>
      <c r="Y24" s="1"/>
      <c r="Z24" s="3"/>
    </row>
    <row r="25" spans="9:26" x14ac:dyDescent="0.3">
      <c r="I25" s="42">
        <v>1.5</v>
      </c>
      <c r="J25" s="43"/>
      <c r="K25" s="7" t="s">
        <v>60</v>
      </c>
      <c r="L25" s="1">
        <v>2850</v>
      </c>
      <c r="M25" s="1">
        <v>2.2000000000000002</v>
      </c>
      <c r="N25" s="23">
        <v>0.78500000000000003</v>
      </c>
      <c r="O25" s="1" t="s">
        <v>86</v>
      </c>
      <c r="P25" s="1">
        <v>1395</v>
      </c>
      <c r="Q25" s="1">
        <v>2.2000000000000002</v>
      </c>
      <c r="R25" s="1"/>
      <c r="S25" s="7"/>
      <c r="T25" s="1"/>
      <c r="U25" s="1"/>
      <c r="V25" s="3"/>
      <c r="W25" s="1"/>
      <c r="X25" s="1"/>
      <c r="Y25" s="1"/>
      <c r="Z25" s="3"/>
    </row>
    <row r="26" spans="9:26" x14ac:dyDescent="0.3">
      <c r="I26" s="42">
        <v>2.2000000000000002</v>
      </c>
      <c r="J26" s="43"/>
      <c r="K26" s="7" t="s">
        <v>87</v>
      </c>
      <c r="L26" s="1">
        <v>2850</v>
      </c>
      <c r="M26" s="1">
        <v>2.2000000000000002</v>
      </c>
      <c r="N26" s="23">
        <v>0.81</v>
      </c>
      <c r="O26" s="1" t="s">
        <v>76</v>
      </c>
      <c r="P26" s="1">
        <v>1395</v>
      </c>
      <c r="Q26" s="1">
        <v>2.2000000000000002</v>
      </c>
      <c r="R26" s="1"/>
      <c r="S26" s="7"/>
      <c r="T26" s="1"/>
      <c r="U26" s="1"/>
      <c r="V26" s="3"/>
      <c r="W26" s="1"/>
      <c r="X26" s="1"/>
      <c r="Y26" s="1"/>
      <c r="Z26" s="3"/>
    </row>
    <row r="27" spans="9:26" x14ac:dyDescent="0.3">
      <c r="I27" s="42">
        <v>3</v>
      </c>
      <c r="J27" s="43"/>
      <c r="K27" s="7" t="s">
        <v>61</v>
      </c>
      <c r="L27" s="1">
        <v>2850</v>
      </c>
      <c r="M27" s="1">
        <v>2.2000000000000002</v>
      </c>
      <c r="N27" s="3"/>
      <c r="O27" s="1" t="s">
        <v>77</v>
      </c>
      <c r="P27" s="1">
        <v>1410</v>
      </c>
      <c r="Q27" s="1">
        <v>2.2000000000000002</v>
      </c>
      <c r="R27" s="1"/>
      <c r="S27" s="7"/>
      <c r="T27" s="1"/>
      <c r="U27" s="1"/>
      <c r="V27" s="3"/>
      <c r="W27" s="1"/>
      <c r="X27" s="1"/>
      <c r="Y27" s="1"/>
      <c r="Z27" s="3"/>
    </row>
    <row r="28" spans="9:26" x14ac:dyDescent="0.3">
      <c r="I28" s="42">
        <v>4</v>
      </c>
      <c r="J28" s="43"/>
      <c r="K28" s="7" t="s">
        <v>62</v>
      </c>
      <c r="L28" s="1">
        <v>2850</v>
      </c>
      <c r="M28" s="1">
        <v>2.2000000000000002</v>
      </c>
      <c r="N28" s="3"/>
      <c r="O28" s="1" t="s">
        <v>78</v>
      </c>
      <c r="P28" s="1">
        <v>1410</v>
      </c>
      <c r="Q28" s="1">
        <v>2.2000000000000002</v>
      </c>
      <c r="R28" s="1"/>
      <c r="S28" s="7"/>
      <c r="T28" s="1"/>
      <c r="U28" s="1"/>
      <c r="V28" s="3"/>
      <c r="W28" s="1"/>
      <c r="X28" s="1"/>
      <c r="Y28" s="1"/>
      <c r="Z28" s="3"/>
    </row>
    <row r="29" spans="9:26" x14ac:dyDescent="0.3">
      <c r="I29" s="42">
        <v>5.5</v>
      </c>
      <c r="J29" s="43"/>
      <c r="K29" s="7" t="s">
        <v>63</v>
      </c>
      <c r="L29" s="1">
        <v>2850</v>
      </c>
      <c r="M29" s="1">
        <v>2.2000000000000002</v>
      </c>
      <c r="N29" s="23">
        <v>0.88</v>
      </c>
      <c r="O29" s="1" t="s">
        <v>79</v>
      </c>
      <c r="P29" s="1">
        <v>1432</v>
      </c>
      <c r="Q29" s="1">
        <v>2.2000000000000002</v>
      </c>
      <c r="R29" s="25">
        <v>0.86599999999999999</v>
      </c>
      <c r="S29" s="7" t="s">
        <v>88</v>
      </c>
      <c r="T29" s="25">
        <v>960</v>
      </c>
      <c r="U29" s="25">
        <v>2.2000000000000002</v>
      </c>
      <c r="V29" s="23">
        <v>0.85</v>
      </c>
      <c r="W29" s="1" t="s">
        <v>91</v>
      </c>
      <c r="X29" s="25">
        <v>712</v>
      </c>
      <c r="Y29" s="25">
        <v>2.2000000000000002</v>
      </c>
      <c r="Z29" s="3">
        <v>0.83</v>
      </c>
    </row>
    <row r="30" spans="9:26" x14ac:dyDescent="0.3">
      <c r="I30" s="42">
        <v>7.5</v>
      </c>
      <c r="J30" s="43"/>
      <c r="K30" s="7" t="s">
        <v>64</v>
      </c>
      <c r="L30" s="1">
        <v>2895</v>
      </c>
      <c r="M30" s="1">
        <v>2.2000000000000002</v>
      </c>
      <c r="N30" s="3">
        <v>0.87</v>
      </c>
      <c r="O30" s="1" t="s">
        <v>80</v>
      </c>
      <c r="P30" s="1">
        <v>1440</v>
      </c>
      <c r="Q30" s="1">
        <v>2.2000000000000002</v>
      </c>
      <c r="R30" s="25">
        <v>0.872</v>
      </c>
      <c r="S30" s="7" t="s">
        <v>89</v>
      </c>
      <c r="T30" s="25">
        <v>960</v>
      </c>
      <c r="U30" s="25">
        <v>2.2000000000000002</v>
      </c>
      <c r="V30" s="23">
        <v>0.86</v>
      </c>
      <c r="W30" s="1" t="s">
        <v>92</v>
      </c>
      <c r="X30" s="25">
        <v>727</v>
      </c>
      <c r="Y30" s="25">
        <v>2.4</v>
      </c>
      <c r="Z30" s="3">
        <v>0.85</v>
      </c>
    </row>
    <row r="31" spans="9:26" x14ac:dyDescent="0.3">
      <c r="I31" s="42">
        <v>11</v>
      </c>
      <c r="J31" s="43"/>
      <c r="K31" s="7" t="s">
        <v>65</v>
      </c>
      <c r="L31" s="1">
        <v>2910</v>
      </c>
      <c r="M31" s="1">
        <v>2.2000000000000002</v>
      </c>
      <c r="N31" s="3">
        <v>0.88</v>
      </c>
      <c r="O31" s="1" t="s">
        <v>81</v>
      </c>
      <c r="P31" s="1">
        <v>1447</v>
      </c>
      <c r="Q31" s="1">
        <v>2.2000000000000002</v>
      </c>
      <c r="R31" s="25">
        <v>0.87</v>
      </c>
      <c r="S31" s="7" t="s">
        <v>90</v>
      </c>
      <c r="T31" s="25">
        <v>970</v>
      </c>
      <c r="U31" s="25">
        <v>2.5</v>
      </c>
      <c r="V31" s="3">
        <v>0.86799999999999999</v>
      </c>
      <c r="W31" s="1" t="s">
        <v>93</v>
      </c>
      <c r="X31" s="25">
        <v>727</v>
      </c>
      <c r="Y31" s="25">
        <v>2.4</v>
      </c>
      <c r="Z31" s="3">
        <v>0.87</v>
      </c>
    </row>
    <row r="32" spans="9:26" x14ac:dyDescent="0.3">
      <c r="I32" s="42">
        <v>15</v>
      </c>
      <c r="J32" s="43"/>
      <c r="K32" s="7" t="s">
        <v>66</v>
      </c>
      <c r="L32" s="1">
        <v>2910</v>
      </c>
      <c r="M32" s="1">
        <v>2.7</v>
      </c>
      <c r="N32" s="3"/>
      <c r="O32" s="1" t="s">
        <v>82</v>
      </c>
      <c r="P32" s="1">
        <v>1455</v>
      </c>
      <c r="Q32" s="1">
        <v>2.9</v>
      </c>
      <c r="R32" s="1"/>
      <c r="S32" s="7"/>
      <c r="T32" s="1"/>
      <c r="U32" s="1"/>
      <c r="V32" s="3"/>
      <c r="W32" s="1"/>
      <c r="X32" s="1"/>
      <c r="Y32" s="1"/>
      <c r="Z32" s="3"/>
    </row>
    <row r="33" spans="2:26" x14ac:dyDescent="0.3">
      <c r="I33" s="42">
        <v>18.5</v>
      </c>
      <c r="J33" s="43"/>
      <c r="K33" s="7" t="s">
        <v>67</v>
      </c>
      <c r="L33" s="1">
        <v>2910</v>
      </c>
      <c r="M33" s="1">
        <v>2.7</v>
      </c>
      <c r="N33" s="3"/>
      <c r="O33" s="1" t="s">
        <v>83</v>
      </c>
      <c r="P33" s="1">
        <v>1455</v>
      </c>
      <c r="Q33" s="1">
        <v>2.9</v>
      </c>
      <c r="R33" s="1"/>
      <c r="S33" s="7"/>
      <c r="T33" s="1"/>
      <c r="U33" s="1"/>
      <c r="V33" s="3"/>
      <c r="W33" s="1"/>
      <c r="X33" s="1"/>
      <c r="Y33" s="1"/>
      <c r="Z33" s="3"/>
    </row>
    <row r="34" spans="2:26" x14ac:dyDescent="0.3">
      <c r="I34" s="42">
        <v>22</v>
      </c>
      <c r="J34" s="43"/>
      <c r="K34" s="7" t="s">
        <v>68</v>
      </c>
      <c r="L34" s="1">
        <v>2919</v>
      </c>
      <c r="M34" s="1">
        <v>2.7</v>
      </c>
      <c r="N34" s="3"/>
      <c r="O34" s="1" t="s">
        <v>84</v>
      </c>
      <c r="P34" s="1">
        <v>1462</v>
      </c>
      <c r="Q34" s="1">
        <v>2.4</v>
      </c>
      <c r="R34" s="1"/>
      <c r="S34" s="7"/>
      <c r="T34" s="1"/>
      <c r="U34" s="1"/>
      <c r="V34" s="3"/>
      <c r="W34" s="1"/>
      <c r="X34" s="1"/>
      <c r="Y34" s="1"/>
      <c r="Z34" s="3"/>
    </row>
    <row r="35" spans="2:26" x14ac:dyDescent="0.3">
      <c r="I35" s="46">
        <v>30</v>
      </c>
      <c r="J35" s="47"/>
      <c r="K35" s="12" t="s">
        <v>69</v>
      </c>
      <c r="L35" s="4">
        <v>2925</v>
      </c>
      <c r="M35" s="4">
        <v>2.7</v>
      </c>
      <c r="N35" s="5"/>
      <c r="O35" s="4" t="s">
        <v>85</v>
      </c>
      <c r="P35" s="4">
        <v>1470</v>
      </c>
      <c r="Q35" s="4">
        <v>2.7</v>
      </c>
      <c r="R35" s="4"/>
      <c r="S35" s="12"/>
      <c r="T35" s="4"/>
      <c r="U35" s="4"/>
      <c r="V35" s="5"/>
      <c r="W35" s="4"/>
      <c r="X35" s="4"/>
      <c r="Y35" s="4"/>
      <c r="Z35" s="5"/>
    </row>
    <row r="36" spans="2:26" x14ac:dyDescent="0.3">
      <c r="G36" s="61" t="s">
        <v>121</v>
      </c>
      <c r="H36" s="61"/>
      <c r="I36" s="55">
        <f>_xlfn.MINIFS(I21:J35,I21:J35,"&gt;="&amp;M11)</f>
        <v>7.5</v>
      </c>
      <c r="J36" s="56"/>
      <c r="K36" s="9" t="str">
        <f>VLOOKUP($I$36,$I$21:$R$35,3)</f>
        <v>112M2</v>
      </c>
      <c r="L36" s="9">
        <f>VLOOKUP($I$36,$I$21:$R$35,4)</f>
        <v>2895</v>
      </c>
      <c r="M36" s="9">
        <f>VLOOKUP($I$36,$I$21:$R$35,5)</f>
        <v>2.2000000000000002</v>
      </c>
      <c r="N36" s="9">
        <f>VLOOKUP($I$36,$I$21:$R$35,6)</f>
        <v>0.87</v>
      </c>
      <c r="O36" s="41" t="str">
        <f>VLOOKUP($I$36,$I$21:$R$35,7)</f>
        <v>132S4</v>
      </c>
      <c r="P36" s="41">
        <f>VLOOKUP($I$36,$I$21:$R$35,8)</f>
        <v>1440</v>
      </c>
      <c r="Q36" s="41">
        <f>VLOOKUP($I$36,$I$21:$R$35,9)</f>
        <v>2.2000000000000002</v>
      </c>
      <c r="R36" s="41">
        <f>VLOOKUP($I$36,$I$21:$R$35,10)</f>
        <v>0.872</v>
      </c>
      <c r="S36" s="9" t="str">
        <f>VLOOKUP($I$36,$I$21:$Z$35,11)</f>
        <v>132M6</v>
      </c>
      <c r="T36" s="9">
        <f>VLOOKUP($I$36,$I$21:$Z$35,12)</f>
        <v>960</v>
      </c>
      <c r="U36" s="9">
        <f>VLOOKUP($I$36,$I$21:$Z$35,13)</f>
        <v>2.2000000000000002</v>
      </c>
      <c r="V36" s="9">
        <f>VLOOKUP($I$36,$I$21:$Z$35,14)</f>
        <v>0.86</v>
      </c>
      <c r="W36" s="9" t="str">
        <f>VLOOKUP($I$36,$I$21:$Z$35,15)</f>
        <v>160S8</v>
      </c>
      <c r="X36" s="9">
        <f>VLOOKUP($I$36,$I$21:$Z$35,16)</f>
        <v>727</v>
      </c>
      <c r="Y36" s="9">
        <f>VLOOKUP($I$36,$I$21:$Z$35,17)</f>
        <v>2.4</v>
      </c>
      <c r="Z36" s="10">
        <f>VLOOKUP($I$36,$I$21:$Z$35,18)</f>
        <v>0.85</v>
      </c>
    </row>
    <row r="38" spans="2:26" x14ac:dyDescent="0.3">
      <c r="B38" s="1"/>
      <c r="C38" s="16"/>
      <c r="D38" s="16"/>
      <c r="E38" s="16"/>
      <c r="F38" s="16"/>
      <c r="G38" s="48" t="s">
        <v>40</v>
      </c>
      <c r="H38" s="49"/>
      <c r="I38" s="49"/>
      <c r="J38" s="50"/>
      <c r="K38" s="11"/>
      <c r="L38" s="18"/>
      <c r="M38" s="18"/>
      <c r="N38" s="8"/>
      <c r="O38" s="17"/>
      <c r="P38" s="18"/>
      <c r="Q38" s="18"/>
      <c r="R38" s="6"/>
      <c r="S38" s="18"/>
      <c r="T38" s="18"/>
      <c r="U38" s="18"/>
      <c r="V38" s="8"/>
      <c r="W38" s="17"/>
      <c r="X38" s="18"/>
      <c r="Y38" s="18"/>
      <c r="Z38" s="6"/>
    </row>
    <row r="39" spans="2:26" x14ac:dyDescent="0.3">
      <c r="B39" s="16"/>
      <c r="C39" s="16"/>
      <c r="D39" s="16"/>
      <c r="E39" s="16"/>
      <c r="F39" s="16"/>
      <c r="G39" s="42" t="s">
        <v>43</v>
      </c>
      <c r="H39" s="43"/>
      <c r="I39" s="43"/>
      <c r="J39" s="53"/>
      <c r="K39" s="7"/>
      <c r="L39" s="1"/>
      <c r="M39" s="1"/>
      <c r="N39" s="3">
        <f>N36*$M$9</f>
        <v>0.8189205947999999</v>
      </c>
      <c r="O39" s="7"/>
      <c r="P39" s="1"/>
      <c r="Q39" s="1"/>
      <c r="R39" s="3">
        <f>R36*$M$9</f>
        <v>0.82080317087999988</v>
      </c>
      <c r="S39" s="1"/>
      <c r="T39" s="1"/>
      <c r="U39" s="1"/>
      <c r="V39" s="3">
        <f>V36*$M$9</f>
        <v>0.80950771439999991</v>
      </c>
      <c r="W39" s="7"/>
      <c r="X39" s="1"/>
      <c r="Y39" s="1"/>
      <c r="Z39" s="3">
        <f>Z36*$M$9</f>
        <v>0.80009483399999992</v>
      </c>
    </row>
    <row r="40" spans="2:26" x14ac:dyDescent="0.3">
      <c r="B40" s="16"/>
      <c r="C40" s="16"/>
      <c r="D40" s="1"/>
      <c r="E40" s="1"/>
      <c r="F40" s="1"/>
      <c r="G40" s="42" t="s">
        <v>120</v>
      </c>
      <c r="H40" s="43"/>
      <c r="I40" s="43" t="s">
        <v>119</v>
      </c>
      <c r="J40" s="53"/>
      <c r="K40" s="27" t="s">
        <v>122</v>
      </c>
      <c r="L40" s="4" t="s">
        <v>72</v>
      </c>
      <c r="M40" s="4"/>
      <c r="N40" s="4" t="s">
        <v>27</v>
      </c>
      <c r="O40" s="27" t="s">
        <v>122</v>
      </c>
      <c r="P40" s="4" t="s">
        <v>72</v>
      </c>
      <c r="Q40" s="4"/>
      <c r="R40" s="5" t="s">
        <v>27</v>
      </c>
      <c r="S40" s="27" t="s">
        <v>122</v>
      </c>
      <c r="T40" s="4" t="s">
        <v>72</v>
      </c>
      <c r="U40" s="4"/>
      <c r="V40" s="4" t="s">
        <v>27</v>
      </c>
      <c r="W40" s="27" t="s">
        <v>122</v>
      </c>
      <c r="X40" s="4" t="s">
        <v>72</v>
      </c>
      <c r="Y40" s="4"/>
      <c r="Z40" s="5" t="s">
        <v>27</v>
      </c>
    </row>
    <row r="41" spans="2:26" x14ac:dyDescent="0.3">
      <c r="B41" s="1"/>
      <c r="C41" s="1"/>
      <c r="D41" s="1"/>
      <c r="E41" s="1"/>
      <c r="F41" s="1"/>
      <c r="G41" s="68">
        <v>160</v>
      </c>
      <c r="H41" s="57"/>
      <c r="I41" s="62">
        <f>$E$3*60000/PI()/G41</f>
        <v>190.98593171027443</v>
      </c>
      <c r="J41" s="63"/>
      <c r="K41" s="15">
        <f>IF($I41,L$36/$I41,"-")</f>
        <v>15.15818455357075</v>
      </c>
      <c r="L41" s="8" t="str">
        <f>AC6</f>
        <v>Прямозубая 2</v>
      </c>
      <c r="M41" s="31">
        <f ca="1">IF(K41&lt;&gt;"-",SUMIF($AC:$AE,L41,$AJ:$AJ)-K41*SUMIF($AC:$AE,L41,$AK:$AK),0)</f>
        <v>0.95497170733270809</v>
      </c>
      <c r="N41" s="8">
        <f ca="1">M41*N$39</f>
        <v>0.78204599858607271</v>
      </c>
      <c r="O41" s="38">
        <f>IF($I41,P$36/$I41,"-")</f>
        <v>7.5398223686155026</v>
      </c>
      <c r="P41" s="39" t="str">
        <f>AC3</f>
        <v>Цилиндрическая 1</v>
      </c>
      <c r="Q41" s="40">
        <f ca="1">IF(O41&lt;&gt;"-",SUMIF($AC:$AE,P41,$AJ:$AJ)-O41*SUMIF($AC:$AE,P41,$AK:$AK),0)</f>
        <v>0.96143805509807656</v>
      </c>
      <c r="R41" s="39">
        <f ca="1">Q41*R$39</f>
        <v>0.78915140422920127</v>
      </c>
      <c r="S41" s="15">
        <f>IF($I41,T$36/$I41,"-")</f>
        <v>5.0265482457436681</v>
      </c>
      <c r="T41" s="8" t="str">
        <f>AC3</f>
        <v>Цилиндрическая 1</v>
      </c>
      <c r="U41" s="31">
        <f ca="1">IF(S41&lt;&gt;"-",SUMIF($AC:$AE,T41,$AJ:$AJ)-S41*SUMIF($AC:$AE,T41,$AK:$AK),0)</f>
        <v>0.969292036732051</v>
      </c>
      <c r="V41" s="8">
        <f ca="1">U41*V$39</f>
        <v>0.78464938124108341</v>
      </c>
      <c r="W41" s="15">
        <f>IF($I41,X$36/$I41,"-")</f>
        <v>3.8065630985996322</v>
      </c>
      <c r="X41" s="8" t="str">
        <f>AC3</f>
        <v>Цилиндрическая 1</v>
      </c>
      <c r="Y41" s="31">
        <f ca="1">IF(W41&lt;&gt;"-",SUMIF($AC:$AE,X41,$AJ:$AJ)-W41*SUMIF($AC:$AE,X41,$AK:$AK),0)</f>
        <v>0.97310449031687618</v>
      </c>
      <c r="Z41" s="6">
        <f ca="1">Y41*Z$39</f>
        <v>0.77857587564473563</v>
      </c>
    </row>
    <row r="42" spans="2:26" x14ac:dyDescent="0.3">
      <c r="B42" s="1"/>
      <c r="C42" s="1"/>
      <c r="D42" s="1"/>
      <c r="E42" s="1"/>
      <c r="F42" s="1"/>
      <c r="G42" s="69">
        <v>200</v>
      </c>
      <c r="H42" s="60"/>
      <c r="I42" s="64">
        <f>$E$3*60000/PI()/G42</f>
        <v>152.78874536821954</v>
      </c>
      <c r="J42" s="65"/>
      <c r="K42" s="13">
        <f>IF($I42,L$36/$I42,"-")</f>
        <v>18.947730691963439</v>
      </c>
      <c r="L42" s="1" t="str">
        <f>AC6</f>
        <v>Прямозубая 2</v>
      </c>
      <c r="M42" s="30">
        <f ca="1">IF(K42&lt;&gt;"-",SUMIF($AC:$AE,L42,$AJ:$AJ)-K42*SUMIF($AC:$AE,L42,$AK:$AK),0)</f>
        <v>0.94723305521851664</v>
      </c>
      <c r="N42" s="1">
        <f ca="1">M42*N$39</f>
        <v>0.77570865699376879</v>
      </c>
      <c r="O42" s="34">
        <f>IF($I42,P$36/$I42,"-")</f>
        <v>9.4247779607693793</v>
      </c>
      <c r="P42" s="25"/>
      <c r="Q42" s="35">
        <f ca="1">IF(O42&lt;&gt;"-",SUMIF($AC:$AE,P42,$AJ:$AJ)-O42*SUMIF($AC:$AE,P42,$AK:$AK),0)</f>
        <v>0</v>
      </c>
      <c r="R42" s="25">
        <f ca="1">Q42*R$39</f>
        <v>0</v>
      </c>
      <c r="S42" s="13">
        <f>IF($I42,T$36/$I42,"-")</f>
        <v>6.2831853071795862</v>
      </c>
      <c r="T42" s="1" t="str">
        <f>AC3</f>
        <v>Цилиндрическая 1</v>
      </c>
      <c r="U42" s="30">
        <f ca="1">IF(S42&lt;&gt;"-",SUMIF($AC:$AE,T42,$AJ:$AJ)-S42*SUMIF($AC:$AE,T42,$AK:$AK),0)</f>
        <v>0.96536504591506378</v>
      </c>
      <c r="V42" s="1">
        <f ca="1">U42*V$39</f>
        <v>0.78147045188035424</v>
      </c>
      <c r="W42" s="13">
        <f>IF($I42,X$36/$I42,"-")</f>
        <v>4.7582038732495402</v>
      </c>
      <c r="X42" s="1" t="str">
        <f>AC3</f>
        <v>Цилиндрическая 1</v>
      </c>
      <c r="Y42" s="30">
        <f ca="1">IF(W42&lt;&gt;"-",SUMIF($AC:$AE,X42,$AJ:$AJ)-W42*SUMIF($AC:$AE,X42,$AK:$AK),0)</f>
        <v>0.97013061289609515</v>
      </c>
      <c r="Z42" s="3">
        <f ca="1">Y42*Z$39</f>
        <v>0.77619649168341942</v>
      </c>
    </row>
    <row r="43" spans="2:26" x14ac:dyDescent="0.3">
      <c r="B43" s="1"/>
      <c r="C43" s="1"/>
      <c r="D43" s="1"/>
      <c r="E43" s="1"/>
      <c r="F43" s="1"/>
      <c r="G43" s="42">
        <v>250</v>
      </c>
      <c r="H43" s="43"/>
      <c r="I43" s="64">
        <f>$E$3*60000/PI()/G43</f>
        <v>122.23099629457563</v>
      </c>
      <c r="J43" s="65"/>
      <c r="K43" s="13">
        <f>IF($I43,L$36/$I43,"-")</f>
        <v>23.684663364954297</v>
      </c>
      <c r="L43" s="1" t="str">
        <f>AC6</f>
        <v>Прямозубая 2</v>
      </c>
      <c r="M43" s="30">
        <f ca="1">IF(K43&lt;&gt;"-",SUMIF($AC:$AE,L43,$AJ:$AJ)-K43*SUMIF($AC:$AE,L43,$AK:$AK),0)</f>
        <v>0.93755974007577747</v>
      </c>
      <c r="N43" s="1">
        <f ca="1">M43*N$39</f>
        <v>0.76778698000338896</v>
      </c>
      <c r="O43" s="13">
        <f>IF($I43,P$36/$I43,"-")</f>
        <v>11.780972450961723</v>
      </c>
      <c r="P43" s="1"/>
      <c r="Q43" s="30">
        <f ca="1">IF(O43&lt;&gt;"-",SUMIF($AC:$AE,P43,$AJ:$AJ)-O43*SUMIF($AC:$AE,P43,$AK:$AK),0)</f>
        <v>0</v>
      </c>
      <c r="R43" s="1">
        <f ca="1">Q43*R$39</f>
        <v>0</v>
      </c>
      <c r="S43" s="13">
        <f>IF($I43,T$36/$I43,"-")</f>
        <v>7.8539816339744819</v>
      </c>
      <c r="T43" s="1" t="str">
        <f>AC3</f>
        <v>Цилиндрическая 1</v>
      </c>
      <c r="U43" s="30">
        <f ca="1">IF(S43&lt;&gt;"-",SUMIF($AC:$AE,T43,$AJ:$AJ)-S43*SUMIF($AC:$AE,T43,$AK:$AK),0)</f>
        <v>0.9604563073938297</v>
      </c>
      <c r="V43" s="1">
        <f ca="1">U43*V$39</f>
        <v>0.77749679017944284</v>
      </c>
      <c r="W43" s="13">
        <f>IF($I43,X$36/$I43,"-")</f>
        <v>5.9477548415619257</v>
      </c>
      <c r="X43" s="1" t="str">
        <f>AC3</f>
        <v>Цилиндрическая 1</v>
      </c>
      <c r="Y43" s="30">
        <f ca="1">IF(W43&lt;&gt;"-",SUMIF($AC:$AE,X43,$AJ:$AJ)-W43*SUMIF($AC:$AE,X43,$AK:$AK),0)</f>
        <v>0.96641326612011891</v>
      </c>
      <c r="Z43" s="3">
        <f ca="1">Y43*Z$39</f>
        <v>0.77322226173177433</v>
      </c>
    </row>
    <row r="44" spans="2:26" x14ac:dyDescent="0.3">
      <c r="B44" s="1"/>
      <c r="C44" s="1"/>
      <c r="D44" s="1"/>
      <c r="E44" s="1"/>
      <c r="F44" s="1"/>
      <c r="G44" s="42">
        <v>315</v>
      </c>
      <c r="H44" s="43"/>
      <c r="I44" s="64">
        <f>$E$3*60000/PI()/G44</f>
        <v>97.008727217917169</v>
      </c>
      <c r="J44" s="65"/>
      <c r="K44" s="13">
        <f>IF($I44,L$36/$I44,"-")</f>
        <v>29.842675839842414</v>
      </c>
      <c r="L44" s="1" t="str">
        <f>AC6</f>
        <v>Прямозубая 2</v>
      </c>
      <c r="M44" s="30">
        <f ca="1">IF(K44&lt;&gt;"-",SUMIF($AC:$AE,L44,$AJ:$AJ)-K44*SUMIF($AC:$AE,L44,$AK:$AK),0)</f>
        <v>0.92498443039021649</v>
      </c>
      <c r="N44" s="1">
        <f ca="1">M44*N$39</f>
        <v>0.75748879991589524</v>
      </c>
      <c r="O44" s="13">
        <f>IF($I44,P$36/$I44,"-")</f>
        <v>14.844025288211771</v>
      </c>
      <c r="P44" s="1"/>
      <c r="Q44" s="30">
        <f ca="1">IF(O44&lt;&gt;"-",SUMIF($AC:$AE,P44,$AJ:$AJ)-O44*SUMIF($AC:$AE,P44,$AK:$AK),0)</f>
        <v>0</v>
      </c>
      <c r="R44" s="1">
        <f ca="1">Q44*R$39</f>
        <v>0</v>
      </c>
      <c r="S44" s="13">
        <f>IF($I44,T$36/$I44,"-")</f>
        <v>9.8960168588078474</v>
      </c>
      <c r="T44" s="1"/>
      <c r="U44" s="30">
        <f ca="1">IF(S44&lt;&gt;"-",SUMIF($AC:$AE,T44,$AJ:$AJ)-S44*SUMIF($AC:$AE,T44,$AK:$AK),0)</f>
        <v>0</v>
      </c>
      <c r="V44" s="1">
        <f ca="1">U44*V$39</f>
        <v>0</v>
      </c>
      <c r="W44" s="13">
        <f>IF($I44,X$36/$I44,"-")</f>
        <v>7.4941711003680265</v>
      </c>
      <c r="X44" s="1"/>
      <c r="Y44" s="30">
        <f ca="1">IF(W44&lt;&gt;"-",SUMIF($AC:$AE,X44,$AJ:$AJ)-W44*SUMIF($AC:$AE,X44,$AK:$AK),0)</f>
        <v>0</v>
      </c>
      <c r="Z44" s="3">
        <f ca="1">Y44*Z$39</f>
        <v>0</v>
      </c>
    </row>
    <row r="45" spans="2:26" x14ac:dyDescent="0.3">
      <c r="B45" s="1"/>
      <c r="C45" s="1"/>
      <c r="D45" s="1"/>
      <c r="E45" s="1"/>
      <c r="F45" s="1"/>
      <c r="G45" s="42">
        <v>400</v>
      </c>
      <c r="H45" s="43"/>
      <c r="I45" s="64">
        <f>$E$3*60000/PI()/G45</f>
        <v>76.394372684109769</v>
      </c>
      <c r="J45" s="65"/>
      <c r="K45" s="13">
        <f>IF($I45,L$36/$I45,"-")</f>
        <v>37.895461383926879</v>
      </c>
      <c r="L45" s="1"/>
      <c r="M45" s="30">
        <f ca="1">IF(K45&lt;&gt;"-",SUMIF($AC:$AE,L45,$AJ:$AJ)-K45*SUMIF($AC:$AE,L45,$AK:$AK),0)</f>
        <v>0</v>
      </c>
      <c r="N45" s="1">
        <f ca="1">M45*N$39</f>
        <v>0</v>
      </c>
      <c r="O45" s="13">
        <f>IF($I45,P$36/$I45,"-")</f>
        <v>18.849555921538759</v>
      </c>
      <c r="P45" s="1"/>
      <c r="Q45" s="30">
        <f ca="1">IF(O45&lt;&gt;"-",SUMIF($AC:$AE,P45,$AJ:$AJ)-O45*SUMIF($AC:$AE,P45,$AK:$AK),0)</f>
        <v>0</v>
      </c>
      <c r="R45" s="1">
        <f ca="1">Q45*R$39</f>
        <v>0</v>
      </c>
      <c r="S45" s="13">
        <f>IF($I45,T$36/$I45,"-")</f>
        <v>12.566370614359172</v>
      </c>
      <c r="T45" s="1"/>
      <c r="U45" s="30">
        <f ca="1">IF(S45&lt;&gt;"-",SUMIF($AC:$AE,T45,$AJ:$AJ)-S45*SUMIF($AC:$AE,T45,$AK:$AK),0)</f>
        <v>0</v>
      </c>
      <c r="V45" s="1">
        <f ca="1">U45*V$39</f>
        <v>0</v>
      </c>
      <c r="W45" s="13">
        <f>IF($I45,X$36/$I45,"-")</f>
        <v>9.5164077464990804</v>
      </c>
      <c r="X45" s="1"/>
      <c r="Y45" s="30">
        <f ca="1">IF(W45&lt;&gt;"-",SUMIF($AC:$AE,X45,$AJ:$AJ)-W45*SUMIF($AC:$AE,X45,$AK:$AK),0)</f>
        <v>0</v>
      </c>
      <c r="Z45" s="3">
        <f ca="1">Y45*Z$39</f>
        <v>0</v>
      </c>
    </row>
    <row r="46" spans="2:26" x14ac:dyDescent="0.3">
      <c r="B46" s="1"/>
      <c r="C46" s="1"/>
      <c r="D46" s="1"/>
      <c r="E46" s="1"/>
      <c r="F46" s="1"/>
      <c r="G46" s="46">
        <v>500</v>
      </c>
      <c r="H46" s="47"/>
      <c r="I46" s="66">
        <f>$E$3*60000/PI()/G46</f>
        <v>61.115498147287816</v>
      </c>
      <c r="J46" s="67"/>
      <c r="K46" s="14">
        <f>IF($I46,L$36/$I46,"-")</f>
        <v>47.369326729908593</v>
      </c>
      <c r="L46" s="4" t="s">
        <v>101</v>
      </c>
      <c r="M46" s="32">
        <f ca="1">IF(K46&lt;&gt;"-",SUMIF($AC:$AE,L46,$AJ:$AJ)-K46*SUMIF($AC:$AE,L46,$AK:$AK),0)</f>
        <v>0</v>
      </c>
      <c r="N46" s="4">
        <f ca="1">M46*N$39</f>
        <v>0</v>
      </c>
      <c r="O46" s="14">
        <f>IF($I46,P$36/$I46,"-")</f>
        <v>23.561944901923447</v>
      </c>
      <c r="P46" s="37" t="str">
        <f>AC3</f>
        <v>Цилиндрическая 1</v>
      </c>
      <c r="Q46" s="32">
        <f ca="1">IF(O46&lt;&gt;"-",SUMIF($AC:$AE,P46,$AJ:$AJ)-O46*SUMIF($AC:$AE,P46,$AK:$AK),0)</f>
        <v>0.91136892218148913</v>
      </c>
      <c r="R46" s="4">
        <f ca="1">Q46*R$39</f>
        <v>0.74805450116805416</v>
      </c>
      <c r="S46" s="14">
        <f>IF($I46,T$36/$I46,"-")</f>
        <v>15.707963267948964</v>
      </c>
      <c r="T46" s="4" t="str">
        <f>AC3</f>
        <v>Цилиндрическая 1</v>
      </c>
      <c r="U46" s="32">
        <f ca="1">IF(S46&lt;&gt;"-",SUMIF($AC:$AE,T46,$AJ:$AJ)-S46*SUMIF($AC:$AE,T46,$AK:$AK),0)</f>
        <v>0.93591261478765941</v>
      </c>
      <c r="V46" s="4">
        <f ca="1">U46*V$39</f>
        <v>0.75762848167488572</v>
      </c>
      <c r="W46" s="14">
        <f>IF($I46,X$36/$I46,"-")</f>
        <v>11.895509683123851</v>
      </c>
      <c r="X46" s="4" t="str">
        <f>AC3</f>
        <v>Цилиндрическая 1</v>
      </c>
      <c r="Y46" s="32">
        <f ca="1">IF(W46&lt;&gt;"-",SUMIF($AC:$AE,X46,$AJ:$AJ)-W46*SUMIF($AC:$AE,X46,$AK:$AK),0)</f>
        <v>0.94782653224023794</v>
      </c>
      <c r="Z46" s="5">
        <f ca="1">Y46*Z$39</f>
        <v>0.75835111197354876</v>
      </c>
    </row>
    <row r="47" spans="2:26" x14ac:dyDescent="0.3">
      <c r="B47" s="1"/>
      <c r="C47" s="1"/>
      <c r="D47" s="1"/>
      <c r="E47" s="1"/>
      <c r="F47" s="16"/>
      <c r="G47" s="16"/>
      <c r="H47" s="16"/>
      <c r="I47" s="16"/>
      <c r="J47" s="16"/>
      <c r="K47" s="36"/>
      <c r="L47" s="1"/>
      <c r="M47" s="30"/>
      <c r="N47" s="1"/>
      <c r="O47" s="36"/>
      <c r="P47" s="1"/>
      <c r="Q47" s="30"/>
      <c r="R47" s="1"/>
      <c r="S47" s="36"/>
      <c r="T47" s="1"/>
      <c r="U47" s="30"/>
      <c r="V47" s="1"/>
      <c r="W47" s="36"/>
      <c r="X47" s="1"/>
      <c r="Y47" s="30"/>
      <c r="Z47" s="1"/>
    </row>
    <row r="48" spans="2:26" x14ac:dyDescent="0.3">
      <c r="B48" s="48" t="s">
        <v>110</v>
      </c>
      <c r="C48" s="49"/>
      <c r="D48" s="49"/>
      <c r="E48" s="49"/>
      <c r="F48" s="49" t="str">
        <f>P46</f>
        <v>Цилиндрическая 1</v>
      </c>
      <c r="G48" s="50"/>
      <c r="H48" s="16"/>
      <c r="I48" s="16"/>
      <c r="J48" s="16"/>
      <c r="K48" s="36"/>
      <c r="L48" s="43" t="s">
        <v>56</v>
      </c>
      <c r="M48" s="43"/>
      <c r="N48" s="28">
        <f ca="1">MAX(Z41:Z46,V41:V46,R41:R46,N41:N46)</f>
        <v>0.78915140422920127</v>
      </c>
      <c r="O48" s="36"/>
      <c r="P48" s="1"/>
      <c r="Q48" s="30"/>
      <c r="R48" s="1"/>
      <c r="S48" s="36"/>
      <c r="T48" s="1"/>
      <c r="U48" s="30"/>
      <c r="V48" s="1"/>
      <c r="W48" s="36"/>
      <c r="X48" s="1"/>
      <c r="Y48" s="30"/>
      <c r="Z48" s="1"/>
    </row>
    <row r="49" spans="2:26" x14ac:dyDescent="0.3">
      <c r="B49" s="42" t="s">
        <v>41</v>
      </c>
      <c r="C49" s="43"/>
      <c r="D49" s="43"/>
      <c r="E49" s="43"/>
      <c r="F49" s="87">
        <f>O41</f>
        <v>7.5398223686155026</v>
      </c>
      <c r="G49" s="91"/>
      <c r="I49" s="16"/>
      <c r="J49" s="16"/>
      <c r="K49" s="36"/>
      <c r="L49" s="1"/>
      <c r="M49" s="30"/>
      <c r="N49" s="1"/>
      <c r="O49" s="36"/>
      <c r="P49" s="1"/>
      <c r="Q49" s="30"/>
      <c r="R49" s="1"/>
      <c r="S49" s="36"/>
      <c r="T49" s="1"/>
      <c r="U49" s="30"/>
      <c r="V49" s="1"/>
      <c r="W49" s="36"/>
      <c r="X49" s="1"/>
      <c r="Y49" s="30"/>
      <c r="Z49" s="1"/>
    </row>
    <row r="50" spans="2:26" x14ac:dyDescent="0.3">
      <c r="B50" s="42" t="s">
        <v>96</v>
      </c>
      <c r="C50" s="43"/>
      <c r="D50" s="43"/>
      <c r="E50" s="43"/>
      <c r="F50" s="16">
        <f>P36</f>
        <v>1440</v>
      </c>
      <c r="G50" s="91" t="s">
        <v>105</v>
      </c>
      <c r="H50" s="16"/>
      <c r="P50" s="1"/>
      <c r="Q50" s="30"/>
      <c r="X50" s="1"/>
      <c r="Y50" s="30"/>
      <c r="Z50" s="1"/>
    </row>
    <row r="51" spans="2:26" x14ac:dyDescent="0.3">
      <c r="B51" s="42" t="s">
        <v>104</v>
      </c>
      <c r="C51" s="43"/>
      <c r="D51" s="43"/>
      <c r="E51" s="43"/>
      <c r="F51" s="1">
        <f>F50*PI()/30</f>
        <v>150.79644737231007</v>
      </c>
      <c r="G51" s="91" t="s">
        <v>106</v>
      </c>
      <c r="H51" s="16"/>
      <c r="I51" s="55" t="s">
        <v>114</v>
      </c>
      <c r="J51" s="70"/>
      <c r="K51" s="33" t="s">
        <v>27</v>
      </c>
      <c r="L51" s="49" t="s">
        <v>122</v>
      </c>
      <c r="M51" s="49"/>
      <c r="N51" s="76" t="s">
        <v>115</v>
      </c>
      <c r="O51" s="76"/>
      <c r="P51" s="49" t="s">
        <v>116</v>
      </c>
      <c r="Q51" s="49"/>
      <c r="R51" s="76" t="s">
        <v>118</v>
      </c>
      <c r="S51" s="76"/>
      <c r="T51" s="77" t="s">
        <v>139</v>
      </c>
      <c r="U51" s="77"/>
      <c r="V51" s="78"/>
      <c r="X51" s="1"/>
      <c r="Y51" s="30"/>
      <c r="Z51" s="1"/>
    </row>
    <row r="52" spans="2:26" x14ac:dyDescent="0.3">
      <c r="B52" s="42" t="s">
        <v>42</v>
      </c>
      <c r="C52" s="43"/>
      <c r="D52" s="43"/>
      <c r="E52" s="43"/>
      <c r="F52" s="86">
        <f>I41</f>
        <v>190.98593171027443</v>
      </c>
      <c r="G52" s="91" t="s">
        <v>105</v>
      </c>
      <c r="H52" s="16"/>
      <c r="I52" s="42" t="s">
        <v>117</v>
      </c>
      <c r="J52" s="43"/>
      <c r="K52" s="80">
        <f>R36</f>
        <v>0.872</v>
      </c>
      <c r="L52" s="49">
        <v>1</v>
      </c>
      <c r="M52" s="49"/>
      <c r="N52" s="83">
        <f>F50</f>
        <v>1440</v>
      </c>
      <c r="O52" s="83"/>
      <c r="P52" s="81">
        <f ca="1">F55</f>
        <v>46.89699496864425</v>
      </c>
      <c r="Q52" s="81"/>
      <c r="R52" s="76">
        <f ca="1">P52*N52*PI()/1000/30</f>
        <v>7.0719002337086527</v>
      </c>
      <c r="S52" s="76"/>
      <c r="T52" s="49">
        <f>F61</f>
        <v>38</v>
      </c>
      <c r="U52" s="49"/>
      <c r="V52" s="50"/>
      <c r="X52" s="1"/>
      <c r="Y52" s="30"/>
      <c r="Z52" s="1"/>
    </row>
    <row r="53" spans="2:26" x14ac:dyDescent="0.3">
      <c r="B53" s="42" t="s">
        <v>107</v>
      </c>
      <c r="C53" s="43"/>
      <c r="D53" s="43"/>
      <c r="E53" s="43"/>
      <c r="F53" s="16">
        <f>G41</f>
        <v>160</v>
      </c>
      <c r="G53" s="91" t="s">
        <v>16</v>
      </c>
      <c r="H53" s="16"/>
      <c r="I53" s="42" t="s">
        <v>28</v>
      </c>
      <c r="J53" s="43"/>
      <c r="K53" s="7">
        <f>M7</f>
        <v>0.98</v>
      </c>
      <c r="L53" s="43">
        <v>1</v>
      </c>
      <c r="M53" s="43"/>
      <c r="N53" s="84">
        <f>N52/L53</f>
        <v>1440</v>
      </c>
      <c r="O53" s="84"/>
      <c r="P53" s="58">
        <f ca="1">P52*L53*K53</f>
        <v>45.959055069271365</v>
      </c>
      <c r="Q53" s="58"/>
      <c r="R53" s="75">
        <f ca="1">P53*N53*PI()/1000/30</f>
        <v>6.9304622290344788</v>
      </c>
      <c r="S53" s="75"/>
      <c r="T53" s="1">
        <f ca="1">$F$62*(P53)^(1/3)</f>
        <v>25.073891195818355</v>
      </c>
      <c r="U53" s="75">
        <f ca="1">MAX(T53:T54)</f>
        <v>25.073891195818355</v>
      </c>
      <c r="V53" s="79">
        <v>32</v>
      </c>
      <c r="W53" t="s">
        <v>142</v>
      </c>
      <c r="X53" s="36">
        <f>T52/V53</f>
        <v>1.1875</v>
      </c>
      <c r="Y53" s="30"/>
      <c r="Z53" s="1"/>
    </row>
    <row r="54" spans="2:26" x14ac:dyDescent="0.3">
      <c r="B54" s="42" t="s">
        <v>97</v>
      </c>
      <c r="C54" s="43"/>
      <c r="D54" s="43"/>
      <c r="E54" s="43"/>
      <c r="F54" s="85">
        <f>E2*F53/2</f>
        <v>320</v>
      </c>
      <c r="G54" s="91" t="s">
        <v>100</v>
      </c>
      <c r="H54" s="16"/>
      <c r="I54" s="42" t="s">
        <v>95</v>
      </c>
      <c r="J54" s="43"/>
      <c r="K54" s="7">
        <f>M6</f>
        <v>0.99</v>
      </c>
      <c r="L54" s="43">
        <v>1</v>
      </c>
      <c r="M54" s="43"/>
      <c r="N54" s="84">
        <f>N53/L54</f>
        <v>1440</v>
      </c>
      <c r="O54" s="84"/>
      <c r="P54" s="58">
        <f ca="1">P53*L54*K54</f>
        <v>45.499464518578648</v>
      </c>
      <c r="Q54" s="58"/>
      <c r="R54" s="75">
        <f ca="1">P54*N54*PI()/1000/30</f>
        <v>6.8611576067441344</v>
      </c>
      <c r="S54" s="75"/>
      <c r="T54" s="1">
        <f ca="1">$F$62*(P54)^(1/3)</f>
        <v>24.990031401542105</v>
      </c>
      <c r="U54" s="75"/>
      <c r="V54" s="79"/>
      <c r="W54" s="95" t="s">
        <v>141</v>
      </c>
      <c r="X54" s="1"/>
      <c r="Y54" s="30"/>
      <c r="Z54" s="1"/>
    </row>
    <row r="55" spans="2:26" x14ac:dyDescent="0.3">
      <c r="B55" s="42" t="s">
        <v>98</v>
      </c>
      <c r="C55" s="43"/>
      <c r="D55" s="43"/>
      <c r="E55" s="43"/>
      <c r="F55" s="1">
        <f ca="1">F54/F59/F49</f>
        <v>46.89699496864425</v>
      </c>
      <c r="G55" s="91" t="s">
        <v>100</v>
      </c>
      <c r="H55" s="16"/>
      <c r="I55" s="42" t="s">
        <v>94</v>
      </c>
      <c r="J55" s="43"/>
      <c r="K55" s="82">
        <f ca="1">Q41</f>
        <v>0.96143805509807656</v>
      </c>
      <c r="L55" s="58">
        <f>F49</f>
        <v>7.5398223686155026</v>
      </c>
      <c r="M55" s="58"/>
      <c r="N55" s="58">
        <f>N54/L55</f>
        <v>190.98593171027443</v>
      </c>
      <c r="O55" s="58"/>
      <c r="P55" s="64">
        <f ca="1">P54*L55*K55</f>
        <v>329.82890125747264</v>
      </c>
      <c r="Q55" s="64"/>
      <c r="R55" s="75">
        <f ca="1">P55*N55*PI()/1000/30</f>
        <v>6.5965780251494532</v>
      </c>
      <c r="S55" s="75"/>
      <c r="T55" s="1">
        <f ca="1">$F$62*(P55)^(1/3)</f>
        <v>48.364601010180287</v>
      </c>
      <c r="U55" s="75">
        <f ca="1">MAX(T55:T57)</f>
        <v>48.364601010180287</v>
      </c>
      <c r="V55" s="79">
        <v>50</v>
      </c>
      <c r="W55" s="36"/>
      <c r="X55" s="1"/>
      <c r="Y55" s="30"/>
      <c r="Z55" s="1"/>
    </row>
    <row r="56" spans="2:26" x14ac:dyDescent="0.3">
      <c r="B56" s="42" t="s">
        <v>99</v>
      </c>
      <c r="C56" s="43"/>
      <c r="D56" s="43"/>
      <c r="E56" s="43"/>
      <c r="F56" s="1">
        <f ca="1">F55*F51/1000</f>
        <v>7.0719002337086527</v>
      </c>
      <c r="G56" s="91" t="s">
        <v>108</v>
      </c>
      <c r="I56" s="42" t="s">
        <v>28</v>
      </c>
      <c r="J56" s="43"/>
      <c r="K56" s="7">
        <f>M7</f>
        <v>0.98</v>
      </c>
      <c r="L56" s="43">
        <v>1</v>
      </c>
      <c r="M56" s="43"/>
      <c r="N56" s="58">
        <f>N55/L56</f>
        <v>190.98593171027443</v>
      </c>
      <c r="O56" s="58"/>
      <c r="P56" s="64">
        <f ca="1">P55*L56*K56</f>
        <v>323.23232323232315</v>
      </c>
      <c r="Q56" s="64"/>
      <c r="R56" s="75">
        <f ca="1">P56*N56*PI()/1000/30</f>
        <v>6.4646464646464636</v>
      </c>
      <c r="S56" s="75"/>
      <c r="T56" s="1">
        <f t="shared" ref="T56:T57" ca="1" si="4">$F$62*(P56)^(1/3)</f>
        <v>48.039996592008322</v>
      </c>
      <c r="U56" s="75"/>
      <c r="V56" s="79"/>
    </row>
    <row r="57" spans="2:26" x14ac:dyDescent="0.3">
      <c r="B57" s="42" t="s">
        <v>102</v>
      </c>
      <c r="C57" s="43"/>
      <c r="D57" s="43"/>
      <c r="E57" s="43"/>
      <c r="F57" s="1">
        <f>Q36</f>
        <v>2.2000000000000002</v>
      </c>
      <c r="G57" s="91"/>
      <c r="I57" s="42" t="s">
        <v>95</v>
      </c>
      <c r="J57" s="43"/>
      <c r="K57" s="7">
        <f>M6</f>
        <v>0.99</v>
      </c>
      <c r="L57" s="43">
        <v>1</v>
      </c>
      <c r="M57" s="43"/>
      <c r="N57" s="58">
        <f>N56/L57</f>
        <v>190.98593171027443</v>
      </c>
      <c r="O57" s="58"/>
      <c r="P57" s="64">
        <f ca="1">P56*L57*K57</f>
        <v>319.99999999999994</v>
      </c>
      <c r="Q57" s="64"/>
      <c r="R57" s="75">
        <f ca="1">P57*N57*PI()/1000/30</f>
        <v>6.3999999999999995</v>
      </c>
      <c r="S57" s="75"/>
      <c r="T57" s="1">
        <f t="shared" ca="1" si="4"/>
        <v>47.879326506947514</v>
      </c>
      <c r="U57" s="75"/>
      <c r="V57" s="79"/>
    </row>
    <row r="58" spans="2:26" x14ac:dyDescent="0.3">
      <c r="B58" s="42" t="s">
        <v>103</v>
      </c>
      <c r="C58" s="43"/>
      <c r="D58" s="43"/>
      <c r="E58" s="43"/>
      <c r="F58" s="85">
        <f>MAX(F57,E8)</f>
        <v>2.2000000000000002</v>
      </c>
      <c r="G58" s="91"/>
      <c r="I58" s="46" t="s">
        <v>143</v>
      </c>
      <c r="J58" s="47"/>
      <c r="K58" s="12"/>
      <c r="L58" s="4"/>
      <c r="M58" s="4"/>
      <c r="N58" s="51">
        <f>N57</f>
        <v>190.98593171027443</v>
      </c>
      <c r="O58" s="51"/>
      <c r="P58" s="66">
        <f ca="1">P57</f>
        <v>319.99999999999994</v>
      </c>
      <c r="Q58" s="66"/>
      <c r="R58" s="4"/>
      <c r="S58" s="4"/>
      <c r="T58" s="47">
        <f>F54</f>
        <v>320</v>
      </c>
      <c r="U58" s="47"/>
      <c r="V58" s="54"/>
    </row>
    <row r="59" spans="2:26" x14ac:dyDescent="0.3">
      <c r="B59" s="42" t="s">
        <v>109</v>
      </c>
      <c r="C59" s="43"/>
      <c r="D59" s="43"/>
      <c r="E59" s="43"/>
      <c r="F59" s="1">
        <f ca="1">K57*K55*K56*K54*K53</f>
        <v>0.90499014246468046</v>
      </c>
      <c r="G59" s="91"/>
    </row>
    <row r="60" spans="2:26" x14ac:dyDescent="0.3">
      <c r="B60" s="46" t="s">
        <v>111</v>
      </c>
      <c r="C60" s="47"/>
      <c r="D60" s="47"/>
      <c r="E60" s="47"/>
      <c r="F60" s="4">
        <f ca="1">F59*K52</f>
        <v>0.78915140422920138</v>
      </c>
      <c r="G60" s="92"/>
    </row>
    <row r="61" spans="2:26" x14ac:dyDescent="0.3">
      <c r="B61" s="56" t="s">
        <v>140</v>
      </c>
      <c r="C61" s="56"/>
      <c r="D61" s="56"/>
      <c r="E61" s="56"/>
      <c r="F61" s="94">
        <v>38</v>
      </c>
      <c r="G61" t="s">
        <v>16</v>
      </c>
    </row>
    <row r="62" spans="2:26" x14ac:dyDescent="0.3">
      <c r="B62" s="61" t="s">
        <v>177</v>
      </c>
      <c r="C62" s="61"/>
      <c r="D62" s="61"/>
      <c r="E62" s="61"/>
      <c r="F62" s="89">
        <v>7</v>
      </c>
    </row>
    <row r="63" spans="2:26" x14ac:dyDescent="0.3">
      <c r="B63" s="89"/>
      <c r="C63" s="89"/>
      <c r="D63" s="89"/>
      <c r="E63" s="89"/>
      <c r="F63" s="89"/>
    </row>
    <row r="65" spans="7:7" x14ac:dyDescent="0.3">
      <c r="G65" s="93"/>
    </row>
  </sheetData>
  <mergeCells count="159">
    <mergeCell ref="P51:Q51"/>
    <mergeCell ref="P52:Q52"/>
    <mergeCell ref="P53:Q53"/>
    <mergeCell ref="P54:Q54"/>
    <mergeCell ref="P55:Q55"/>
    <mergeCell ref="P56:Q56"/>
    <mergeCell ref="P57:Q57"/>
    <mergeCell ref="N51:O51"/>
    <mergeCell ref="L51:M51"/>
    <mergeCell ref="L52:M52"/>
    <mergeCell ref="L53:M53"/>
    <mergeCell ref="L54:M54"/>
    <mergeCell ref="L55:M55"/>
    <mergeCell ref="L56:M56"/>
    <mergeCell ref="L57:M57"/>
    <mergeCell ref="N52:O52"/>
    <mergeCell ref="N53:O53"/>
    <mergeCell ref="N54:O54"/>
    <mergeCell ref="N55:O55"/>
    <mergeCell ref="N56:O56"/>
    <mergeCell ref="N57:O57"/>
    <mergeCell ref="T51:V51"/>
    <mergeCell ref="V55:V57"/>
    <mergeCell ref="R51:S51"/>
    <mergeCell ref="R52:S52"/>
    <mergeCell ref="R53:S53"/>
    <mergeCell ref="R54:S54"/>
    <mergeCell ref="R55:S55"/>
    <mergeCell ref="R56:S56"/>
    <mergeCell ref="R57:S57"/>
    <mergeCell ref="U53:U54"/>
    <mergeCell ref="V53:V54"/>
    <mergeCell ref="T52:V52"/>
    <mergeCell ref="B62:E62"/>
    <mergeCell ref="U55:U57"/>
    <mergeCell ref="I57:J57"/>
    <mergeCell ref="I56:J56"/>
    <mergeCell ref="I55:J55"/>
    <mergeCell ref="I54:J54"/>
    <mergeCell ref="I53:J53"/>
    <mergeCell ref="I52:J52"/>
    <mergeCell ref="B61:E61"/>
    <mergeCell ref="I58:J58"/>
    <mergeCell ref="N58:O58"/>
    <mergeCell ref="P58:Q58"/>
    <mergeCell ref="T58:V58"/>
    <mergeCell ref="B59:E59"/>
    <mergeCell ref="B60:E60"/>
    <mergeCell ref="B50:E50"/>
    <mergeCell ref="B49:E49"/>
    <mergeCell ref="F48:G48"/>
    <mergeCell ref="B48:E48"/>
    <mergeCell ref="A1:F1"/>
    <mergeCell ref="A2:D2"/>
    <mergeCell ref="A3:D3"/>
    <mergeCell ref="A4:D4"/>
    <mergeCell ref="A5:D5"/>
    <mergeCell ref="A6:D6"/>
    <mergeCell ref="A7:D7"/>
    <mergeCell ref="A8:D8"/>
    <mergeCell ref="E4:G4"/>
    <mergeCell ref="A12:D12"/>
    <mergeCell ref="B57:E57"/>
    <mergeCell ref="B58:E58"/>
    <mergeCell ref="B56:E56"/>
    <mergeCell ref="G39:J39"/>
    <mergeCell ref="G38:J38"/>
    <mergeCell ref="Q2:S2"/>
    <mergeCell ref="Q3:S3"/>
    <mergeCell ref="Q4:S4"/>
    <mergeCell ref="Q5:S5"/>
    <mergeCell ref="Q6:S6"/>
    <mergeCell ref="Q7:S7"/>
    <mergeCell ref="I29:J29"/>
    <mergeCell ref="I30:J30"/>
    <mergeCell ref="G46:H46"/>
    <mergeCell ref="G41:H41"/>
    <mergeCell ref="G40:H40"/>
    <mergeCell ref="G42:H42"/>
    <mergeCell ref="G43:H43"/>
    <mergeCell ref="G44:H44"/>
    <mergeCell ref="G45:H45"/>
    <mergeCell ref="G36:H36"/>
    <mergeCell ref="I40:J40"/>
    <mergeCell ref="I41:J41"/>
    <mergeCell ref="I42:J42"/>
    <mergeCell ref="I43:J43"/>
    <mergeCell ref="I44:J44"/>
    <mergeCell ref="I45:J45"/>
    <mergeCell ref="I46:J46"/>
    <mergeCell ref="I19:J19"/>
    <mergeCell ref="M2:N2"/>
    <mergeCell ref="I2:L2"/>
    <mergeCell ref="I4:N4"/>
    <mergeCell ref="I3:N3"/>
    <mergeCell ref="I9:L9"/>
    <mergeCell ref="I10:L10"/>
    <mergeCell ref="M10:N10"/>
    <mergeCell ref="I11:L11"/>
    <mergeCell ref="B55:E55"/>
    <mergeCell ref="B54:E54"/>
    <mergeCell ref="B53:E53"/>
    <mergeCell ref="B52:E52"/>
    <mergeCell ref="B51:E51"/>
    <mergeCell ref="A11:G11"/>
    <mergeCell ref="A10:G10"/>
    <mergeCell ref="A9:G9"/>
    <mergeCell ref="I51:J51"/>
    <mergeCell ref="I36:J36"/>
    <mergeCell ref="AC2:AE2"/>
    <mergeCell ref="AC3:AE3"/>
    <mergeCell ref="AC4:AE4"/>
    <mergeCell ref="I7:J7"/>
    <mergeCell ref="K7:L7"/>
    <mergeCell ref="M7:N7"/>
    <mergeCell ref="M9:N9"/>
    <mergeCell ref="A15:D15"/>
    <mergeCell ref="I6:J6"/>
    <mergeCell ref="K5:L5"/>
    <mergeCell ref="M5:N5"/>
    <mergeCell ref="K6:L6"/>
    <mergeCell ref="M6:N6"/>
    <mergeCell ref="A14:D14"/>
    <mergeCell ref="E12:G12"/>
    <mergeCell ref="A13:D13"/>
    <mergeCell ref="AC5:AE5"/>
    <mergeCell ref="AC7:AE7"/>
    <mergeCell ref="AC10:AE10"/>
    <mergeCell ref="AC9:AE9"/>
    <mergeCell ref="Q8:S8"/>
    <mergeCell ref="Q9:S9"/>
    <mergeCell ref="Q10:S10"/>
    <mergeCell ref="Q11:S11"/>
    <mergeCell ref="S19:V19"/>
    <mergeCell ref="W19:Z19"/>
    <mergeCell ref="O19:R19"/>
    <mergeCell ref="Q12:S12"/>
    <mergeCell ref="I8:J8"/>
    <mergeCell ref="K8:L8"/>
    <mergeCell ref="M8:N8"/>
    <mergeCell ref="AC8:AE8"/>
    <mergeCell ref="AC6:AE6"/>
    <mergeCell ref="L48:M48"/>
    <mergeCell ref="I31:J31"/>
    <mergeCell ref="I32:J32"/>
    <mergeCell ref="I33:J33"/>
    <mergeCell ref="I34:J34"/>
    <mergeCell ref="I35:J35"/>
    <mergeCell ref="K19:N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M11:N1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8D27-F275-4550-B7FB-3917876B2935}">
  <dimension ref="A1:Z57"/>
  <sheetViews>
    <sheetView tabSelected="1" workbookViewId="0">
      <selection activeCell="S13" sqref="S13"/>
    </sheetView>
  </sheetViews>
  <sheetFormatPr defaultRowHeight="14.4" x14ac:dyDescent="0.3"/>
  <cols>
    <col min="1" max="30" width="6.77734375" customWidth="1"/>
  </cols>
  <sheetData>
    <row r="1" spans="1:26" x14ac:dyDescent="0.3">
      <c r="A1" s="43" t="s">
        <v>144</v>
      </c>
      <c r="B1" s="43"/>
      <c r="C1" s="43"/>
      <c r="D1" s="43"/>
      <c r="E1" s="43"/>
      <c r="F1" s="43"/>
    </row>
    <row r="2" spans="1:26" x14ac:dyDescent="0.3">
      <c r="A2" s="42" t="s">
        <v>110</v>
      </c>
      <c r="B2" s="43"/>
      <c r="C2" s="43"/>
      <c r="D2" s="43"/>
      <c r="E2" s="43" t="str">
        <f>Электродвигатель!F48</f>
        <v>Цилиндрическая 1</v>
      </c>
      <c r="F2" s="53"/>
      <c r="K2" s="48" t="s">
        <v>157</v>
      </c>
      <c r="L2" s="49"/>
      <c r="M2" s="49"/>
      <c r="N2" s="49"/>
      <c r="O2" s="49"/>
      <c r="P2" s="49"/>
      <c r="Q2" s="49"/>
      <c r="R2" s="1"/>
    </row>
    <row r="3" spans="1:26" x14ac:dyDescent="0.3">
      <c r="A3" s="42" t="s">
        <v>41</v>
      </c>
      <c r="B3" s="43"/>
      <c r="C3" s="43"/>
      <c r="D3" s="43"/>
      <c r="E3" s="98">
        <f>Электродвигатель!F49</f>
        <v>7.5398223686155026</v>
      </c>
      <c r="F3" s="91"/>
      <c r="K3" s="7" t="s">
        <v>160</v>
      </c>
      <c r="L3" s="16" t="s">
        <v>154</v>
      </c>
      <c r="M3" s="1" t="s">
        <v>155</v>
      </c>
      <c r="N3" s="1" t="s">
        <v>152</v>
      </c>
      <c r="O3" s="1" t="s">
        <v>158</v>
      </c>
      <c r="P3" s="1" t="s">
        <v>159</v>
      </c>
      <c r="Q3" s="1" t="s">
        <v>156</v>
      </c>
      <c r="R3" s="25" t="s">
        <v>182</v>
      </c>
    </row>
    <row r="4" spans="1:26" x14ac:dyDescent="0.3">
      <c r="A4" s="42" t="s">
        <v>42</v>
      </c>
      <c r="B4" s="43"/>
      <c r="C4" s="43"/>
      <c r="D4" s="43"/>
      <c r="E4" s="98">
        <f>Электродвигатель!F52</f>
        <v>190.98593171027443</v>
      </c>
      <c r="F4" s="91" t="s">
        <v>105</v>
      </c>
      <c r="K4" s="11">
        <v>1</v>
      </c>
      <c r="L4" s="8">
        <v>28.5</v>
      </c>
      <c r="M4" s="8">
        <v>24.8</v>
      </c>
      <c r="N4" s="8">
        <v>0.1</v>
      </c>
      <c r="O4" s="8">
        <v>280</v>
      </c>
      <c r="P4" s="8">
        <v>56.4</v>
      </c>
      <c r="Q4" s="8">
        <v>78.900000000000006</v>
      </c>
      <c r="R4" s="1">
        <f>IF(P4&gt;$E$15,1,0)</f>
        <v>1</v>
      </c>
    </row>
    <row r="5" spans="1:26" x14ac:dyDescent="0.3">
      <c r="A5" s="42" t="s">
        <v>97</v>
      </c>
      <c r="B5" s="43"/>
      <c r="C5" s="43"/>
      <c r="D5" s="43"/>
      <c r="E5" s="25">
        <f>Электродвигатель!F54</f>
        <v>320</v>
      </c>
      <c r="F5" s="91" t="s">
        <v>100</v>
      </c>
      <c r="K5" s="7">
        <v>2</v>
      </c>
      <c r="L5" s="1">
        <v>28.5</v>
      </c>
      <c r="M5" s="1">
        <v>24.8</v>
      </c>
      <c r="N5" s="1">
        <v>0.15</v>
      </c>
      <c r="O5" s="1">
        <v>250</v>
      </c>
      <c r="P5" s="1">
        <v>52.85</v>
      </c>
      <c r="Q5" s="1">
        <v>74.900000000000006</v>
      </c>
      <c r="R5" s="1">
        <f t="shared" ref="R5:R15" si="0">IF(P5&gt;$E$15,1,0)</f>
        <v>1</v>
      </c>
    </row>
    <row r="6" spans="1:26" x14ac:dyDescent="0.3">
      <c r="A6" s="42" t="s">
        <v>103</v>
      </c>
      <c r="B6" s="43"/>
      <c r="C6" s="43"/>
      <c r="D6" s="43"/>
      <c r="E6" s="25">
        <f>Электродвигатель!F58</f>
        <v>2.2000000000000002</v>
      </c>
      <c r="F6" s="3"/>
      <c r="K6" s="7">
        <v>3</v>
      </c>
      <c r="L6" s="1">
        <v>28.5</v>
      </c>
      <c r="M6" s="1">
        <v>24.8</v>
      </c>
      <c r="N6" s="1">
        <v>0.315</v>
      </c>
      <c r="O6" s="1">
        <v>200</v>
      </c>
      <c r="P6" s="1">
        <v>42.3</v>
      </c>
      <c r="Q6" s="1">
        <v>68.900000000000006</v>
      </c>
      <c r="R6" s="1">
        <f t="shared" si="0"/>
        <v>1</v>
      </c>
    </row>
    <row r="7" spans="1:26" x14ac:dyDescent="0.3">
      <c r="A7" s="61" t="s">
        <v>151</v>
      </c>
      <c r="B7" s="61"/>
      <c r="C7" s="61"/>
      <c r="D7" s="61"/>
      <c r="E7">
        <f>Электродвигатель!E5</f>
        <v>10000</v>
      </c>
      <c r="F7" t="s">
        <v>11</v>
      </c>
      <c r="K7" s="7">
        <v>4</v>
      </c>
      <c r="L7" s="1">
        <v>28.5</v>
      </c>
      <c r="M7" s="1">
        <v>24.8</v>
      </c>
      <c r="N7" s="1">
        <v>0.4</v>
      </c>
      <c r="O7" s="1">
        <v>190</v>
      </c>
      <c r="P7" s="1">
        <v>38.75</v>
      </c>
      <c r="Q7" s="1">
        <v>70.8</v>
      </c>
      <c r="R7" s="1">
        <f t="shared" si="0"/>
        <v>1</v>
      </c>
    </row>
    <row r="8" spans="1:26" x14ac:dyDescent="0.3">
      <c r="A8" s="61" t="s">
        <v>145</v>
      </c>
      <c r="B8" s="61"/>
      <c r="C8" s="61"/>
      <c r="D8" s="61"/>
      <c r="E8" s="61"/>
      <c r="F8" s="61"/>
      <c r="K8" s="7">
        <v>5</v>
      </c>
      <c r="L8" s="1">
        <v>49</v>
      </c>
      <c r="M8" s="1">
        <v>28.5</v>
      </c>
      <c r="N8" s="1">
        <v>0.1</v>
      </c>
      <c r="O8" s="1">
        <v>250</v>
      </c>
      <c r="P8" s="1">
        <v>52.85</v>
      </c>
      <c r="Q8" s="1">
        <v>64.599999999999994</v>
      </c>
      <c r="R8" s="1">
        <f t="shared" si="0"/>
        <v>1</v>
      </c>
      <c r="S8" s="1"/>
    </row>
    <row r="9" spans="1:26" x14ac:dyDescent="0.3">
      <c r="A9" s="61" t="s">
        <v>150</v>
      </c>
      <c r="B9" s="61"/>
      <c r="C9" s="61"/>
      <c r="D9" s="61"/>
      <c r="E9">
        <f>Электродвигатель!E15</f>
        <v>300</v>
      </c>
      <c r="F9" t="s">
        <v>22</v>
      </c>
      <c r="K9" s="7">
        <v>6</v>
      </c>
      <c r="L9" s="1">
        <v>49</v>
      </c>
      <c r="M9" s="1">
        <v>28.5</v>
      </c>
      <c r="N9" s="1">
        <v>0.15</v>
      </c>
      <c r="O9" s="1">
        <v>240</v>
      </c>
      <c r="P9" s="1">
        <v>49.35</v>
      </c>
      <c r="Q9" s="90">
        <v>69.400000000000006</v>
      </c>
      <c r="R9" s="1">
        <f t="shared" si="0"/>
        <v>1</v>
      </c>
      <c r="S9" s="96"/>
    </row>
    <row r="10" spans="1:26" x14ac:dyDescent="0.3">
      <c r="A10" s="42" t="s">
        <v>8</v>
      </c>
      <c r="B10" s="43"/>
      <c r="C10" s="43"/>
      <c r="D10" s="43"/>
      <c r="E10" s="16">
        <f>Электродвигатель!E7</f>
        <v>3</v>
      </c>
      <c r="F10" s="91" t="s">
        <v>138</v>
      </c>
      <c r="K10" s="100">
        <v>7</v>
      </c>
      <c r="L10" s="85">
        <v>49</v>
      </c>
      <c r="M10" s="85">
        <v>28.5</v>
      </c>
      <c r="N10" s="85">
        <v>0.315</v>
      </c>
      <c r="O10" s="85">
        <v>180</v>
      </c>
      <c r="P10" s="85">
        <v>37.75</v>
      </c>
      <c r="Q10" s="86">
        <v>57.3</v>
      </c>
      <c r="R10" s="1">
        <f t="shared" si="0"/>
        <v>1</v>
      </c>
      <c r="S10" s="96"/>
    </row>
    <row r="11" spans="1:26" x14ac:dyDescent="0.3">
      <c r="A11" s="42" t="s">
        <v>130</v>
      </c>
      <c r="B11" s="43"/>
      <c r="C11" s="43"/>
      <c r="D11" s="43"/>
      <c r="E11" s="88" t="s">
        <v>101</v>
      </c>
      <c r="F11" s="3" t="s">
        <v>133</v>
      </c>
      <c r="K11" s="7">
        <v>8</v>
      </c>
      <c r="L11" s="1">
        <v>49</v>
      </c>
      <c r="M11" s="1">
        <v>28.5</v>
      </c>
      <c r="N11" s="1">
        <v>0.4</v>
      </c>
      <c r="O11" s="1">
        <v>180</v>
      </c>
      <c r="P11" s="16">
        <v>36.299999999999997</v>
      </c>
      <c r="Q11" s="90">
        <v>64.2</v>
      </c>
      <c r="R11" s="1">
        <f t="shared" si="0"/>
        <v>1</v>
      </c>
      <c r="S11" s="96"/>
    </row>
    <row r="12" spans="1:26" x14ac:dyDescent="0.3">
      <c r="A12" s="42" t="s">
        <v>131</v>
      </c>
      <c r="B12" s="43"/>
      <c r="C12" s="43"/>
      <c r="D12" s="43"/>
      <c r="E12" s="97" t="s">
        <v>101</v>
      </c>
      <c r="F12" s="5" t="s">
        <v>132</v>
      </c>
      <c r="K12" s="7">
        <v>9</v>
      </c>
      <c r="L12" s="1">
        <v>59</v>
      </c>
      <c r="M12" s="1">
        <v>59</v>
      </c>
      <c r="N12" s="1">
        <v>0.1</v>
      </c>
      <c r="O12" s="1">
        <v>160</v>
      </c>
      <c r="P12" s="90">
        <v>32.75</v>
      </c>
      <c r="Q12" s="90">
        <v>34.4</v>
      </c>
      <c r="R12" s="1">
        <f t="shared" si="0"/>
        <v>1</v>
      </c>
      <c r="S12" s="96"/>
    </row>
    <row r="13" spans="1:26" x14ac:dyDescent="0.3">
      <c r="A13" s="61" t="s">
        <v>146</v>
      </c>
      <c r="B13" s="61"/>
      <c r="C13" s="61"/>
      <c r="D13" s="61"/>
      <c r="E13" s="61"/>
      <c r="F13" s="61"/>
      <c r="K13" s="7">
        <v>10</v>
      </c>
      <c r="L13" s="1">
        <v>59</v>
      </c>
      <c r="M13" s="1">
        <v>59</v>
      </c>
      <c r="N13" s="1">
        <v>0.15</v>
      </c>
      <c r="O13" s="1">
        <v>140</v>
      </c>
      <c r="P13" s="90">
        <v>28.75</v>
      </c>
      <c r="Q13" s="90">
        <v>31.8</v>
      </c>
      <c r="R13" s="1">
        <f t="shared" si="0"/>
        <v>0</v>
      </c>
      <c r="S13" s="96"/>
    </row>
    <row r="14" spans="1:26" x14ac:dyDescent="0.3">
      <c r="A14" s="61" t="s">
        <v>149</v>
      </c>
      <c r="B14" s="61"/>
      <c r="C14" s="61"/>
      <c r="D14" s="61"/>
      <c r="E14">
        <f>Электродвигатель!T52</f>
        <v>38</v>
      </c>
      <c r="F14" t="s">
        <v>16</v>
      </c>
      <c r="K14" s="7">
        <v>11</v>
      </c>
      <c r="L14" s="1">
        <v>59</v>
      </c>
      <c r="M14" s="1">
        <v>59</v>
      </c>
      <c r="N14" s="25">
        <v>0.315</v>
      </c>
      <c r="O14" s="25">
        <v>120</v>
      </c>
      <c r="P14" s="90">
        <v>24.2</v>
      </c>
      <c r="Q14" s="90">
        <v>31.9</v>
      </c>
      <c r="R14" s="1">
        <f t="shared" si="0"/>
        <v>0</v>
      </c>
      <c r="S14" s="96"/>
    </row>
    <row r="15" spans="1:26" x14ac:dyDescent="0.3">
      <c r="A15" s="43" t="s">
        <v>147</v>
      </c>
      <c r="B15" s="43"/>
      <c r="C15" s="43"/>
      <c r="D15" s="43"/>
      <c r="E15">
        <f>Электродвигатель!V53</f>
        <v>32</v>
      </c>
      <c r="F15" t="s">
        <v>16</v>
      </c>
      <c r="K15" s="12">
        <v>12</v>
      </c>
      <c r="L15" s="4">
        <v>59</v>
      </c>
      <c r="M15" s="4">
        <v>59</v>
      </c>
      <c r="N15" s="37">
        <v>0.4</v>
      </c>
      <c r="O15" s="37">
        <v>130</v>
      </c>
      <c r="P15" s="99">
        <v>26.25</v>
      </c>
      <c r="Q15" s="99">
        <v>38.1</v>
      </c>
      <c r="R15" s="1">
        <f t="shared" si="0"/>
        <v>0</v>
      </c>
    </row>
    <row r="16" spans="1:26" x14ac:dyDescent="0.3">
      <c r="A16" s="43" t="s">
        <v>148</v>
      </c>
      <c r="B16" s="43"/>
      <c r="C16" s="43"/>
      <c r="D16" s="43"/>
      <c r="E16">
        <f>Электродвигатель!V55</f>
        <v>50</v>
      </c>
      <c r="F16" t="s">
        <v>16</v>
      </c>
      <c r="Z16" s="101"/>
    </row>
    <row r="17" spans="1:26" x14ac:dyDescent="0.3">
      <c r="Z17" s="101"/>
    </row>
    <row r="18" spans="1:26" x14ac:dyDescent="0.3">
      <c r="Z18" s="101"/>
    </row>
    <row r="19" spans="1:26" x14ac:dyDescent="0.3">
      <c r="A19" t="s">
        <v>136</v>
      </c>
      <c r="Z19" s="101"/>
    </row>
    <row r="20" spans="1:26" x14ac:dyDescent="0.3">
      <c r="A20" t="s">
        <v>137</v>
      </c>
      <c r="M20" s="111" t="s">
        <v>160</v>
      </c>
      <c r="N20" s="112"/>
      <c r="O20" s="112"/>
      <c r="P20" s="112"/>
      <c r="Q20" s="102">
        <v>7</v>
      </c>
      <c r="R20" s="103"/>
      <c r="T20" s="111" t="s">
        <v>160</v>
      </c>
      <c r="U20" s="112"/>
      <c r="V20" s="112"/>
      <c r="W20" s="112"/>
      <c r="X20" s="102">
        <v>8</v>
      </c>
      <c r="Y20" s="103"/>
      <c r="Z20" s="101"/>
    </row>
    <row r="21" spans="1:26" x14ac:dyDescent="0.3">
      <c r="M21" s="113" t="s">
        <v>156</v>
      </c>
      <c r="N21" s="114"/>
      <c r="O21" s="114"/>
      <c r="P21" s="114"/>
      <c r="Q21" s="115">
        <v>57</v>
      </c>
      <c r="R21" s="104" t="s">
        <v>163</v>
      </c>
      <c r="T21" s="113" t="s">
        <v>156</v>
      </c>
      <c r="U21" s="114"/>
      <c r="V21" s="114"/>
      <c r="W21" s="114"/>
      <c r="X21" s="115">
        <v>64</v>
      </c>
      <c r="Y21" s="104" t="s">
        <v>163</v>
      </c>
      <c r="Z21" s="101"/>
    </row>
    <row r="22" spans="1:26" x14ac:dyDescent="0.3">
      <c r="M22" s="113" t="s">
        <v>161</v>
      </c>
      <c r="N22" s="114"/>
      <c r="O22" s="114"/>
      <c r="P22" s="114"/>
      <c r="Q22" s="105">
        <v>20</v>
      </c>
      <c r="R22" s="104" t="s">
        <v>163</v>
      </c>
      <c r="T22" s="113" t="s">
        <v>161</v>
      </c>
      <c r="U22" s="114"/>
      <c r="V22" s="114"/>
      <c r="W22" s="114"/>
      <c r="X22" s="105">
        <v>25.3</v>
      </c>
      <c r="Y22" s="104" t="s">
        <v>163</v>
      </c>
      <c r="Z22" s="101"/>
    </row>
    <row r="23" spans="1:26" x14ac:dyDescent="0.3">
      <c r="M23" s="113" t="s">
        <v>153</v>
      </c>
      <c r="N23" s="114"/>
      <c r="O23" s="114"/>
      <c r="P23" s="114"/>
      <c r="Q23" s="105">
        <v>180</v>
      </c>
      <c r="R23" s="104" t="s">
        <v>16</v>
      </c>
      <c r="T23" s="113" t="s">
        <v>153</v>
      </c>
      <c r="U23" s="114"/>
      <c r="V23" s="114"/>
      <c r="W23" s="114"/>
      <c r="X23" s="105">
        <v>180</v>
      </c>
      <c r="Y23" s="104" t="s">
        <v>16</v>
      </c>
      <c r="Z23" s="101"/>
    </row>
    <row r="24" spans="1:26" x14ac:dyDescent="0.3">
      <c r="M24" s="113" t="s">
        <v>162</v>
      </c>
      <c r="N24" s="114"/>
      <c r="O24" s="114"/>
      <c r="P24" s="114"/>
      <c r="Q24" s="105">
        <v>2.5</v>
      </c>
      <c r="R24" s="104" t="s">
        <v>16</v>
      </c>
      <c r="T24" s="113" t="s">
        <v>162</v>
      </c>
      <c r="U24" s="114"/>
      <c r="V24" s="114"/>
      <c r="W24" s="114"/>
      <c r="X24" s="105">
        <v>3</v>
      </c>
      <c r="Y24" s="104" t="s">
        <v>16</v>
      </c>
      <c r="Z24" s="101"/>
    </row>
    <row r="25" spans="1:26" x14ac:dyDescent="0.3">
      <c r="M25" s="113" t="s">
        <v>0</v>
      </c>
      <c r="N25" s="114"/>
      <c r="O25" s="114"/>
      <c r="P25" s="114"/>
      <c r="Q25" s="105">
        <v>2016</v>
      </c>
      <c r="R25" s="104" t="s">
        <v>166</v>
      </c>
      <c r="T25" s="113" t="s">
        <v>0</v>
      </c>
      <c r="U25" s="114"/>
      <c r="V25" s="114"/>
      <c r="W25" s="114"/>
      <c r="X25" s="105">
        <v>2013</v>
      </c>
      <c r="Y25" s="104" t="s">
        <v>166</v>
      </c>
      <c r="Z25" s="101"/>
    </row>
    <row r="26" spans="1:26" x14ac:dyDescent="0.3">
      <c r="M26" s="113" t="s">
        <v>164</v>
      </c>
      <c r="N26" s="114"/>
      <c r="O26" s="114"/>
      <c r="P26" s="114"/>
      <c r="Q26" s="105">
        <v>734</v>
      </c>
      <c r="R26" s="104" t="s">
        <v>166</v>
      </c>
      <c r="T26" s="113" t="s">
        <v>164</v>
      </c>
      <c r="U26" s="114"/>
      <c r="V26" s="114"/>
      <c r="W26" s="114"/>
      <c r="X26" s="105">
        <v>733</v>
      </c>
      <c r="Y26" s="104" t="s">
        <v>166</v>
      </c>
      <c r="Z26" s="101"/>
    </row>
    <row r="27" spans="1:26" x14ac:dyDescent="0.3">
      <c r="M27" s="116" t="s">
        <v>165</v>
      </c>
      <c r="N27" s="117"/>
      <c r="O27" s="117"/>
      <c r="P27" s="117"/>
      <c r="Q27" s="120">
        <v>0</v>
      </c>
      <c r="R27" s="121" t="s">
        <v>166</v>
      </c>
      <c r="T27" s="116" t="s">
        <v>165</v>
      </c>
      <c r="U27" s="117"/>
      <c r="V27" s="117"/>
      <c r="W27" s="117"/>
      <c r="X27" s="120">
        <v>0</v>
      </c>
      <c r="Y27" s="121" t="s">
        <v>166</v>
      </c>
      <c r="Z27" s="101"/>
    </row>
    <row r="28" spans="1:26" x14ac:dyDescent="0.3">
      <c r="M28" s="115"/>
      <c r="N28" s="115"/>
      <c r="O28" s="115"/>
      <c r="P28" s="115"/>
      <c r="Q28" s="115"/>
      <c r="R28" s="115"/>
      <c r="T28" s="115"/>
      <c r="U28" s="115"/>
      <c r="V28" s="115"/>
      <c r="W28" s="115"/>
      <c r="X28" s="115"/>
      <c r="Y28" s="115"/>
      <c r="Z28" s="101"/>
    </row>
    <row r="29" spans="1:26" x14ac:dyDescent="0.3">
      <c r="M29" s="111" t="s">
        <v>167</v>
      </c>
      <c r="N29" s="112"/>
      <c r="O29" s="118" t="s">
        <v>168</v>
      </c>
      <c r="P29" s="118"/>
      <c r="Q29" s="118" t="s">
        <v>126</v>
      </c>
      <c r="R29" s="119"/>
      <c r="T29" s="111" t="s">
        <v>167</v>
      </c>
      <c r="U29" s="112"/>
      <c r="V29" s="118" t="s">
        <v>168</v>
      </c>
      <c r="W29" s="118"/>
      <c r="X29" s="118" t="s">
        <v>126</v>
      </c>
      <c r="Y29" s="119"/>
      <c r="Z29" s="101"/>
    </row>
    <row r="30" spans="1:26" x14ac:dyDescent="0.3">
      <c r="M30" s="113" t="s">
        <v>169</v>
      </c>
      <c r="N30" s="114"/>
      <c r="O30" s="106">
        <v>17</v>
      </c>
      <c r="P30" s="106"/>
      <c r="Q30" s="106">
        <v>127</v>
      </c>
      <c r="R30" s="107"/>
      <c r="T30" s="113" t="s">
        <v>169</v>
      </c>
      <c r="U30" s="114"/>
      <c r="V30" s="106">
        <v>14</v>
      </c>
      <c r="W30" s="106"/>
      <c r="X30" s="106">
        <v>106</v>
      </c>
      <c r="Y30" s="107"/>
      <c r="Z30" s="101"/>
    </row>
    <row r="31" spans="1:26" x14ac:dyDescent="0.3">
      <c r="M31" s="108" t="s">
        <v>176</v>
      </c>
      <c r="N31" s="106"/>
      <c r="O31" s="106">
        <v>-0.3</v>
      </c>
      <c r="P31" s="106"/>
      <c r="Q31" s="106">
        <v>0.3</v>
      </c>
      <c r="R31" s="107"/>
      <c r="T31" s="108" t="s">
        <v>176</v>
      </c>
      <c r="U31" s="106"/>
      <c r="V31" s="106">
        <v>0.3</v>
      </c>
      <c r="W31" s="106"/>
      <c r="X31" s="106">
        <v>-0.3</v>
      </c>
      <c r="Y31" s="107"/>
      <c r="Z31" s="101"/>
    </row>
    <row r="32" spans="1:26" x14ac:dyDescent="0.3">
      <c r="M32" s="108" t="s">
        <v>175</v>
      </c>
      <c r="N32" s="106"/>
      <c r="O32" s="106">
        <v>49</v>
      </c>
      <c r="P32" s="106"/>
      <c r="Q32" s="106">
        <v>28.5</v>
      </c>
      <c r="R32" s="107"/>
      <c r="T32" s="108" t="s">
        <v>175</v>
      </c>
      <c r="U32" s="106"/>
      <c r="V32" s="106">
        <v>49</v>
      </c>
      <c r="W32" s="106"/>
      <c r="X32" s="106">
        <v>28.5</v>
      </c>
      <c r="Y32" s="107"/>
      <c r="Z32" s="101"/>
    </row>
    <row r="33" spans="11:26" x14ac:dyDescent="0.3">
      <c r="M33" s="46" t="s">
        <v>179</v>
      </c>
      <c r="N33" s="47"/>
      <c r="O33" s="47" t="s">
        <v>180</v>
      </c>
      <c r="P33" s="47"/>
      <c r="Q33" s="47" t="s">
        <v>181</v>
      </c>
      <c r="R33" s="54"/>
      <c r="T33" s="46" t="s">
        <v>179</v>
      </c>
      <c r="U33" s="47"/>
      <c r="V33" s="47" t="s">
        <v>180</v>
      </c>
      <c r="W33" s="47"/>
      <c r="X33" s="47" t="s">
        <v>181</v>
      </c>
      <c r="Y33" s="54"/>
      <c r="Z33" s="101"/>
    </row>
    <row r="34" spans="11:26" x14ac:dyDescent="0.3">
      <c r="L34" s="101"/>
      <c r="M34" s="108" t="s">
        <v>171</v>
      </c>
      <c r="N34" s="106"/>
      <c r="O34" s="106"/>
      <c r="P34" s="106"/>
      <c r="Q34" s="106"/>
      <c r="R34" s="107"/>
      <c r="T34" s="108" t="s">
        <v>171</v>
      </c>
      <c r="U34" s="106"/>
      <c r="V34" s="106"/>
      <c r="W34" s="106"/>
      <c r="X34" s="106"/>
      <c r="Y34" s="107"/>
      <c r="Z34" s="101"/>
    </row>
    <row r="35" spans="11:26" x14ac:dyDescent="0.3">
      <c r="M35" s="113" t="s">
        <v>170</v>
      </c>
      <c r="N35" s="114"/>
      <c r="O35" s="106">
        <v>42.5</v>
      </c>
      <c r="P35" s="106"/>
      <c r="Q35" s="106">
        <v>317.5</v>
      </c>
      <c r="R35" s="107"/>
      <c r="T35" s="113" t="s">
        <v>170</v>
      </c>
      <c r="U35" s="114"/>
      <c r="V35" s="106">
        <v>42</v>
      </c>
      <c r="W35" s="106"/>
      <c r="X35" s="106">
        <v>318</v>
      </c>
      <c r="Y35" s="107"/>
      <c r="Z35" s="101"/>
    </row>
    <row r="36" spans="11:26" x14ac:dyDescent="0.3">
      <c r="M36" s="113" t="s">
        <v>173</v>
      </c>
      <c r="N36" s="114"/>
      <c r="O36" s="106">
        <v>49</v>
      </c>
      <c r="P36" s="106"/>
      <c r="Q36" s="106">
        <v>321</v>
      </c>
      <c r="R36" s="107"/>
      <c r="T36" s="113" t="s">
        <v>173</v>
      </c>
      <c r="U36" s="114"/>
      <c r="V36" s="106">
        <v>49.8</v>
      </c>
      <c r="W36" s="106"/>
      <c r="X36" s="106">
        <v>322</v>
      </c>
      <c r="Y36" s="107"/>
      <c r="Z36" s="101"/>
    </row>
    <row r="37" spans="11:26" x14ac:dyDescent="0.3">
      <c r="M37" s="113" t="s">
        <v>172</v>
      </c>
      <c r="N37" s="114"/>
      <c r="O37" s="106">
        <v>37.75</v>
      </c>
      <c r="P37" s="106"/>
      <c r="Q37" s="106">
        <v>309.75</v>
      </c>
      <c r="R37" s="107"/>
      <c r="T37" s="113" t="s">
        <v>172</v>
      </c>
      <c r="U37" s="114"/>
      <c r="V37" s="106">
        <v>36.6</v>
      </c>
      <c r="W37" s="106"/>
      <c r="X37" s="106">
        <v>308.7</v>
      </c>
      <c r="Y37" s="107"/>
      <c r="Z37" s="101"/>
    </row>
    <row r="38" spans="11:26" x14ac:dyDescent="0.3">
      <c r="M38" s="116" t="s">
        <v>174</v>
      </c>
      <c r="N38" s="117"/>
      <c r="O38" s="109">
        <v>62</v>
      </c>
      <c r="P38" s="109"/>
      <c r="Q38" s="109">
        <v>57</v>
      </c>
      <c r="R38" s="110"/>
      <c r="T38" s="116" t="s">
        <v>174</v>
      </c>
      <c r="U38" s="117"/>
      <c r="V38" s="109">
        <v>79</v>
      </c>
      <c r="W38" s="109"/>
      <c r="X38" s="109">
        <v>72</v>
      </c>
      <c r="Y38" s="110"/>
      <c r="Z38" s="101"/>
    </row>
    <row r="39" spans="11:26" x14ac:dyDescent="0.3">
      <c r="Z39" s="101"/>
    </row>
    <row r="40" spans="11:26" x14ac:dyDescent="0.3">
      <c r="K40" s="89"/>
      <c r="L40" s="89"/>
      <c r="M40" s="61" t="s">
        <v>178</v>
      </c>
      <c r="N40" s="61"/>
      <c r="O40" s="61" t="b">
        <f>O37&gt;$E$15</f>
        <v>1</v>
      </c>
      <c r="P40" s="61"/>
      <c r="Q40" s="61" t="b">
        <f>Q37&gt;$E$16</f>
        <v>1</v>
      </c>
      <c r="R40" s="61"/>
      <c r="V40" s="61" t="b">
        <f>V37&gt;$E$15</f>
        <v>1</v>
      </c>
      <c r="W40" s="61"/>
      <c r="X40" s="61" t="b">
        <f>X37&gt;$E$16</f>
        <v>1</v>
      </c>
      <c r="Y40" s="61"/>
      <c r="Z40" s="101"/>
    </row>
    <row r="41" spans="11:26" x14ac:dyDescent="0.3">
      <c r="Z41" s="101"/>
    </row>
    <row r="42" spans="11:26" x14ac:dyDescent="0.3">
      <c r="Z42" s="101"/>
    </row>
    <row r="43" spans="11:26" x14ac:dyDescent="0.3">
      <c r="Z43" s="101"/>
    </row>
    <row r="44" spans="11:26" x14ac:dyDescent="0.3">
      <c r="Z44" s="101"/>
    </row>
    <row r="45" spans="11:26" x14ac:dyDescent="0.3">
      <c r="Z45" s="101"/>
    </row>
    <row r="46" spans="11:26" x14ac:dyDescent="0.3">
      <c r="Z46" s="101"/>
    </row>
    <row r="47" spans="11:26" x14ac:dyDescent="0.3">
      <c r="Z47" s="101"/>
    </row>
    <row r="48" spans="11:26" x14ac:dyDescent="0.3">
      <c r="Z48" s="101"/>
    </row>
    <row r="49" spans="26:26" x14ac:dyDescent="0.3">
      <c r="Z49" s="101"/>
    </row>
    <row r="50" spans="26:26" x14ac:dyDescent="0.3">
      <c r="Z50" s="101"/>
    </row>
    <row r="51" spans="26:26" x14ac:dyDescent="0.3">
      <c r="Z51" s="101"/>
    </row>
    <row r="52" spans="26:26" x14ac:dyDescent="0.3">
      <c r="Z52" s="101"/>
    </row>
    <row r="53" spans="26:26" x14ac:dyDescent="0.3">
      <c r="Z53" s="101"/>
    </row>
    <row r="54" spans="26:26" x14ac:dyDescent="0.3">
      <c r="Z54" s="101"/>
    </row>
    <row r="55" spans="26:26" x14ac:dyDescent="0.3">
      <c r="Z55" s="101"/>
    </row>
    <row r="56" spans="26:26" x14ac:dyDescent="0.3">
      <c r="Z56" s="101"/>
    </row>
    <row r="57" spans="26:26" x14ac:dyDescent="0.3">
      <c r="Z57" s="101"/>
    </row>
  </sheetData>
  <mergeCells count="95">
    <mergeCell ref="M40:N40"/>
    <mergeCell ref="T38:U38"/>
    <mergeCell ref="V38:W38"/>
    <mergeCell ref="X38:Y38"/>
    <mergeCell ref="O40:P40"/>
    <mergeCell ref="Q40:R40"/>
    <mergeCell ref="V40:W40"/>
    <mergeCell ref="X40:Y40"/>
    <mergeCell ref="T36:U36"/>
    <mergeCell ref="V36:W36"/>
    <mergeCell ref="X36:Y36"/>
    <mergeCell ref="T37:U37"/>
    <mergeCell ref="V37:W37"/>
    <mergeCell ref="X37:Y37"/>
    <mergeCell ref="T33:U33"/>
    <mergeCell ref="V33:W33"/>
    <mergeCell ref="X33:Y33"/>
    <mergeCell ref="T34:Y34"/>
    <mergeCell ref="T35:U35"/>
    <mergeCell ref="V35:W35"/>
    <mergeCell ref="X35:Y35"/>
    <mergeCell ref="T31:U31"/>
    <mergeCell ref="V31:W31"/>
    <mergeCell ref="X31:Y31"/>
    <mergeCell ref="T32:U32"/>
    <mergeCell ref="V32:W32"/>
    <mergeCell ref="X32:Y32"/>
    <mergeCell ref="T26:W26"/>
    <mergeCell ref="T27:W27"/>
    <mergeCell ref="T29:U29"/>
    <mergeCell ref="V29:W29"/>
    <mergeCell ref="X29:Y29"/>
    <mergeCell ref="T30:U30"/>
    <mergeCell ref="V30:W30"/>
    <mergeCell ref="X30:Y30"/>
    <mergeCell ref="M33:N33"/>
    <mergeCell ref="O33:P33"/>
    <mergeCell ref="Q33:R33"/>
    <mergeCell ref="T20:W20"/>
    <mergeCell ref="T21:W21"/>
    <mergeCell ref="T22:W22"/>
    <mergeCell ref="T23:W23"/>
    <mergeCell ref="T24:W24"/>
    <mergeCell ref="T25:W25"/>
    <mergeCell ref="O32:P32"/>
    <mergeCell ref="Q32:R32"/>
    <mergeCell ref="M32:N32"/>
    <mergeCell ref="M31:N31"/>
    <mergeCell ref="O31:P31"/>
    <mergeCell ref="Q31:R31"/>
    <mergeCell ref="M34:R34"/>
    <mergeCell ref="M37:N37"/>
    <mergeCell ref="O37:P37"/>
    <mergeCell ref="Q37:R37"/>
    <mergeCell ref="M38:N38"/>
    <mergeCell ref="O38:P38"/>
    <mergeCell ref="Q38:R38"/>
    <mergeCell ref="M35:N35"/>
    <mergeCell ref="O35:P35"/>
    <mergeCell ref="Q35:R35"/>
    <mergeCell ref="M36:N36"/>
    <mergeCell ref="O36:P36"/>
    <mergeCell ref="Q36:R36"/>
    <mergeCell ref="M29:N29"/>
    <mergeCell ref="O29:P29"/>
    <mergeCell ref="Q29:R29"/>
    <mergeCell ref="M30:N30"/>
    <mergeCell ref="O30:P30"/>
    <mergeCell ref="Q30:R30"/>
    <mergeCell ref="M22:P22"/>
    <mergeCell ref="M23:P23"/>
    <mergeCell ref="M24:P24"/>
    <mergeCell ref="M25:P25"/>
    <mergeCell ref="M26:P26"/>
    <mergeCell ref="M27:P27"/>
    <mergeCell ref="A7:D7"/>
    <mergeCell ref="K2:Q2"/>
    <mergeCell ref="M20:P20"/>
    <mergeCell ref="M21:P21"/>
    <mergeCell ref="A15:D15"/>
    <mergeCell ref="A16:D16"/>
    <mergeCell ref="A1:F1"/>
    <mergeCell ref="A8:F8"/>
    <mergeCell ref="A13:F13"/>
    <mergeCell ref="A14:D14"/>
    <mergeCell ref="A9:D9"/>
    <mergeCell ref="A5:D5"/>
    <mergeCell ref="A6:D6"/>
    <mergeCell ref="A12:D12"/>
    <mergeCell ref="A10:D10"/>
    <mergeCell ref="A11:D11"/>
    <mergeCell ref="A2:D2"/>
    <mergeCell ref="E2:F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6109-A6F9-42CB-B875-F300C0970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B891-BABE-48BC-B741-A9DC893B6424}">
  <dimension ref="B4:G6"/>
  <sheetViews>
    <sheetView workbookViewId="0">
      <selection activeCell="H12" sqref="H12"/>
    </sheetView>
  </sheetViews>
  <sheetFormatPr defaultRowHeight="14.4" x14ac:dyDescent="0.3"/>
  <sheetData>
    <row r="4" spans="2:7" x14ac:dyDescent="0.3">
      <c r="B4" s="1"/>
      <c r="C4" s="36"/>
      <c r="D4" s="61" t="s">
        <v>129</v>
      </c>
      <c r="E4" s="61"/>
      <c r="F4" s="43" t="s">
        <v>125</v>
      </c>
      <c r="G4" s="43"/>
    </row>
    <row r="5" spans="2:7" x14ac:dyDescent="0.3">
      <c r="B5" s="75" t="s">
        <v>124</v>
      </c>
      <c r="C5" s="75"/>
      <c r="D5" s="43"/>
      <c r="E5" s="43"/>
      <c r="F5" s="43"/>
      <c r="G5" s="43"/>
    </row>
    <row r="6" spans="2:7" x14ac:dyDescent="0.3">
      <c r="B6" s="75" t="s">
        <v>126</v>
      </c>
      <c r="C6" s="75"/>
      <c r="D6" s="43" t="s">
        <v>127</v>
      </c>
      <c r="E6" s="43"/>
      <c r="F6" s="58" t="s">
        <v>128</v>
      </c>
      <c r="G6" s="58"/>
    </row>
  </sheetData>
  <mergeCells count="8">
    <mergeCell ref="F6:G6"/>
    <mergeCell ref="D6:E6"/>
    <mergeCell ref="B6:C6"/>
    <mergeCell ref="B5:C5"/>
    <mergeCell ref="D4:E4"/>
    <mergeCell ref="F4:G4"/>
    <mergeCell ref="D5:E5"/>
    <mergeCell ref="F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Электродвигатель</vt:lpstr>
      <vt:lpstr>Передача</vt:lpstr>
      <vt:lpstr>Вал</vt:lpstr>
      <vt:lpstr>Корпус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2026-02-16T08:41:05Z</dcterms:created>
  <dcterms:modified xsi:type="dcterms:W3CDTF">2026-02-21T12:36:14Z</dcterms:modified>
</cp:coreProperties>
</file>