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BEDC2F2-8B91-4C25-95AF-B0D24392336C}" xr6:coauthVersionLast="47" xr6:coauthVersionMax="47" xr10:uidLastSave="{00000000-0000-0000-0000-000000000000}"/>
  <bookViews>
    <workbookView xWindow="-108" yWindow="-108" windowWidth="23256" windowHeight="12456" activeTab="6" xr2:uid="{7E097F76-7D13-4899-AD2E-10ADA644057F}"/>
  </bookViews>
  <sheets>
    <sheet name="Электродвигатель" sheetId="1" r:id="rId1"/>
    <sheet name="Передача" sheetId="2" r:id="rId2"/>
    <sheet name="Вал" sheetId="4" r:id="rId3"/>
    <sheet name="Установка" sheetId="9" r:id="rId4"/>
    <sheet name="Подшипники" sheetId="6" r:id="rId5"/>
    <sheet name="Колесо" sheetId="7" r:id="rId6"/>
    <sheet name="Вал-шестерня" sheetId="8" r:id="rId7"/>
    <sheet name="Корпус" sheetId="3" r:id="rId8"/>
    <sheet name="Ra40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7" i="7" l="1"/>
  <c r="X7" i="7"/>
  <c r="M9" i="7"/>
  <c r="E14" i="2"/>
  <c r="E10" i="2"/>
  <c r="E9" i="2"/>
  <c r="E7" i="2"/>
  <c r="E6" i="2"/>
  <c r="E5" i="2"/>
  <c r="E4" i="2"/>
  <c r="E3" i="2"/>
  <c r="E6" i="3"/>
  <c r="E5" i="3"/>
  <c r="E4" i="3"/>
  <c r="E3" i="3"/>
  <c r="E2" i="3"/>
  <c r="E10" i="7"/>
  <c r="E17" i="7" s="1"/>
  <c r="M12" i="7" s="1"/>
  <c r="E9" i="7"/>
  <c r="E8" i="7"/>
  <c r="E7" i="7"/>
  <c r="E11" i="7" s="1"/>
  <c r="E6" i="7"/>
  <c r="E4" i="7"/>
  <c r="E3" i="7"/>
  <c r="E2" i="7"/>
  <c r="D4" i="4"/>
  <c r="D6" i="4"/>
  <c r="M6" i="7"/>
  <c r="M5" i="7"/>
  <c r="M4" i="7"/>
  <c r="D5" i="6"/>
  <c r="D4" i="6"/>
  <c r="D3" i="6"/>
  <c r="E14" i="7"/>
  <c r="D26" i="2"/>
  <c r="D37" i="2"/>
  <c r="D32" i="2"/>
  <c r="I36" i="1"/>
  <c r="R8" i="4"/>
  <c r="R6" i="4"/>
  <c r="D35" i="2"/>
  <c r="D34" i="2"/>
  <c r="D33" i="2"/>
  <c r="K6" i="4" s="1"/>
  <c r="D40" i="2"/>
  <c r="D39" i="2"/>
  <c r="R7" i="4" s="1"/>
  <c r="D38" i="2"/>
  <c r="D30" i="2"/>
  <c r="D29" i="2"/>
  <c r="D28" i="2"/>
  <c r="D25" i="2"/>
  <c r="K8" i="4"/>
  <c r="K7" i="4"/>
  <c r="E2" i="2"/>
  <c r="K57" i="1"/>
  <c r="K56" i="1"/>
  <c r="K54" i="1"/>
  <c r="K53" i="1"/>
  <c r="E7" i="3" l="1"/>
  <c r="E8" i="3" s="1"/>
  <c r="E13" i="3" s="1"/>
  <c r="F53" i="1"/>
  <c r="F54" i="1" s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3" l="1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L55" i="1" l="1"/>
  <c r="N53" i="1" l="1"/>
  <c r="N54" i="1" l="1"/>
  <c r="N55" i="1" l="1"/>
  <c r="R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9" i="1" s="1"/>
  <c r="F60" i="1" l="1"/>
  <c r="F55" i="1"/>
  <c r="P52" i="1" l="1"/>
  <c r="F56" i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R3" i="4"/>
  <c r="R11" i="4" l="1"/>
  <c r="R12" i="4" s="1"/>
  <c r="R56" i="1"/>
  <c r="P57" i="1"/>
  <c r="R57" i="1" l="1"/>
  <c r="P58" i="1"/>
  <c r="K14" i="4"/>
  <c r="K15" i="4" s="1"/>
  <c r="K16" i="4" s="1"/>
  <c r="R16" i="4"/>
  <c r="K17" i="4"/>
  <c r="R13" i="4"/>
  <c r="R14" i="4" s="1"/>
  <c r="R15" i="4" s="1"/>
  <c r="R17" i="4" l="1"/>
  <c r="R18" i="4" s="1"/>
  <c r="K18" i="4"/>
  <c r="K19" i="4" s="1"/>
  <c r="E16" i="2" l="1"/>
  <c r="M7" i="7"/>
  <c r="M22" i="7" s="1"/>
  <c r="E15" i="2"/>
  <c r="R15" i="2" s="1"/>
  <c r="Z4" i="7" l="1"/>
  <c r="X5" i="7"/>
  <c r="M13" i="7"/>
  <c r="E18" i="7"/>
  <c r="Z5" i="7" s="1"/>
  <c r="Z9" i="7" s="1"/>
  <c r="R6" i="2"/>
  <c r="Q37" i="2"/>
  <c r="R11" i="2"/>
  <c r="R14" i="2"/>
  <c r="R10" i="2"/>
  <c r="R5" i="2"/>
  <c r="R8" i="2"/>
  <c r="R9" i="2"/>
  <c r="R12" i="2"/>
  <c r="R7" i="2"/>
  <c r="R13" i="2"/>
  <c r="R4" i="2"/>
  <c r="J37" i="2"/>
  <c r="Z10" i="7" l="1"/>
  <c r="X9" i="7"/>
  <c r="X10" i="7"/>
  <c r="M14" i="7"/>
  <c r="M17" i="7" l="1"/>
  <c r="M18" i="7"/>
  <c r="M19" i="7" s="1"/>
</calcChain>
</file>

<file path=xl/sharedStrings.xml><?xml version="1.0" encoding="utf-8"?>
<sst xmlns="http://schemas.openxmlformats.org/spreadsheetml/2006/main" count="515" uniqueCount="272">
  <si>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</si>
  <si>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</si>
  <si>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</si>
  <si>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</si>
  <si>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</si>
  <si>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</si>
  <si>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</si>
  <si>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</si>
  <si>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</si>
  <si>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</si>
  <si>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</si>
  <si>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</si>
  <si>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</si>
  <si>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</si>
  <si>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</si>
  <si>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</si>
  <si>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</si>
  <si>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</si>
  <si>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</si>
  <si>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</si>
  <si>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</si>
  <si>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</si>
  <si>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</si>
  <si>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</si>
  <si>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</si>
  <si>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</si>
  <si>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</si>
  <si>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</si>
  <si>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</si>
  <si>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</si>
  <si>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</si>
  <si>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</si>
  <si>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</si>
  <si>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</si>
  <si>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</si>
  <si>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</si>
  <si>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</si>
  <si>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</si>
  <si>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</si>
  <si>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</si>
  <si>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</si>
  <si>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</si>
  <si>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</si>
  <si>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</si>
  <si>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</si>
  <si>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</si>
  <si>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</si>
  <si>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</si>
  <si>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</si>
  <si>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</si>
  <si>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</si>
  <si>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</si>
  <si>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</si>
  <si>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</si>
  <si>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</si>
  <si>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</si>
  <si>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</si>
  <si>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</si>
  <si>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</si>
  <si>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</si>
  <si>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</si>
  <si>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</si>
  <si>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</si>
  <si>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</si>
  <si>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</si>
  <si>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</si>
  <si>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</si>
  <si>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</si>
  <si>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</si>
  <si>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</si>
  <si>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</si>
  <si>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</si>
  <si>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</si>
  <si>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</si>
  <si>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</si>
  <si>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</si>
  <si>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</si>
  <si>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</si>
  <si>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</si>
  <si>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</si>
  <si>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</si>
  <si>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</si>
  <si>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</si>
  <si>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</si>
  <si>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</si>
  <si>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</si>
  <si>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</si>
  <si>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</si>
  <si>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</si>
  <si>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</si>
  <si>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</si>
  <si>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</si>
  <si>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</si>
  <si>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</si>
  <si>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</si>
  <si>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</si>
  <si>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</si>
  <si>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</si>
  <si>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</si>
  <si>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</si>
  <si>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</si>
  <si>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</si>
  <si>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</si>
  <si>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</si>
  <si>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</si>
  <si>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</si>
  <si>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</si>
  <si>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</si>
  <si>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</si>
  <si>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</si>
  <si>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</si>
  <si>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</si>
  <si>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</si>
  <si>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</si>
  <si>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</si>
  <si>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</si>
  <si>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</si>
  <si>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</si>
  <si>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</si>
  <si>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</si>
  <si>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</si>
  <si>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</si>
  <si>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</si>
  <si>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</si>
  <si>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</si>
  <si>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</si>
  <si>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</si>
  <si>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</si>
  <si>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</si>
  <si>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</si>
  <si>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</si>
  <si>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</si>
  <si>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</si>
  <si>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</si>
  <si>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</si>
  <si>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</si>
  <si>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Как определить квалитет от массовости производтсва?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</si>
  <si>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</si>
  <si>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</si>
  <si>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</si>
  <si>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</si>
  <si>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</si>
  <si>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</si>
  <si>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</si>
  <si>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</si>
  <si>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</si>
  <si>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</si>
  <si>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</si>
  <si>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</si>
  <si>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</si>
  <si>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</si>
  <si>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</si>
  <si>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</si>
  <si>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</si>
  <si>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</si>
  <si>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</si>
  <si>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</si>
  <si>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</si>
  <si>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</si>
  <si>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</si>
  <si>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</si>
  <si>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</si>
  <si>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</si>
  <si>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</si>
  <si>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</si>
  <si>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</si>
  <si>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Делительный</t>
  </si>
  <si>
    <t>Диаметры [мм]</t>
  </si>
  <si>
    <t>Впадин</t>
  </si>
  <si>
    <t>Вершин</t>
  </si>
  <si>
    <t>Ширина</t>
  </si>
  <si>
    <t>Твёрдость</t>
  </si>
  <si>
    <t>Смещение</t>
  </si>
  <si>
    <t>Налазит на вал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</si>
  <si>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</si>
  <si>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</si>
  <si>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</si>
  <si>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</si>
  <si>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</si>
  <si>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</si>
  <si>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</si>
  <si>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</si>
  <si>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</si>
  <si>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</si>
  <si>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</si>
  <si>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</si>
  <si>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</si>
  <si>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</si>
  <si>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</si>
  <si>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</si>
  <si>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</si>
  <si>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</si>
  <si>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</si>
  <si>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</si>
  <si>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</si>
  <si>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2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</si>
  <si>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</si>
  <si>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</si>
  <si>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</si>
  <si>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</si>
  <si>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</si>
  <si>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</si>
  <si>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</si>
  <si>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</si>
  <si>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</si>
  <si>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</si>
  <si>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</si>
  <si>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Берём по Ra40 для всех диаметровв валов?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</si>
  <si>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</si>
  <si>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</si>
  <si>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</si>
  <si>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</si>
  <si>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</si>
  <si>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</si>
  <si>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</si>
  <si>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</si>
  <si>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</si>
  <si>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</si>
  <si>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</si>
  <si>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</si>
  <si>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</si>
  <si>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</si>
  <si>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</si>
  <si>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Впадины</t>
  </si>
  <si>
    <t>Вершины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</si>
  <si>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</si>
  <si>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</si>
  <si>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</si>
  <si>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</si>
  <si>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</si>
  <si>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</si>
  <si>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</si>
  <si>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</si>
  <si>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</si>
  <si>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</si>
  <si>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</si>
  <si>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Шпонка не подходит из-за массовости</t>
  </si>
  <si>
    <t>Шлицы</t>
  </si>
  <si>
    <t>Соединение с натягом</t>
  </si>
  <si>
    <t>Как соединяется тихоходный вал с барабаном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</si>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</sst>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7" xfId="0" applyFont="1" applyBorder="1"/>
    <xf numFmtId="0" fontId="2" fillId="0" borderId="8" xfId="0" applyFont="1" applyBorder="1"/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114300</xdr:colOff>
      <xdr:row>1</xdr:row>
      <xdr:rowOff>167640</xdr:rowOff>
    </xdr:from>
    <xdr:to>
      <xdr:col>30</xdr:col>
      <xdr:colOff>197527</xdr:colOff>
      <xdr:row>40</xdr:row>
      <xdr:rowOff>75277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35CBBC7-233D-4AED-93FF-512452705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1780" y="350520"/>
          <a:ext cx="9402487" cy="70399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480060</xdr:colOff>
      <xdr:row>1</xdr:row>
      <xdr:rowOff>160020</xdr:rowOff>
    </xdr:from>
    <xdr:to>
      <xdr:col>37</xdr:col>
      <xdr:colOff>244749</xdr:colOff>
      <xdr:row>27</xdr:row>
      <xdr:rowOff>53989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90120" y="342900"/>
          <a:ext cx="6516009" cy="46488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13</xdr:col>
      <xdr:colOff>600925</xdr:colOff>
      <xdr:row>11</xdr:row>
      <xdr:rowOff>181256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DE2E17A-B778-4EDE-BCF9-B7ACBC0E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2880"/>
          <a:ext cx="6087325" cy="20100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23</xdr:row>
      <xdr:rowOff>0</xdr:rowOff>
    </xdr:from>
    <xdr:to>
      <xdr:col>29</xdr:col>
      <xdr:colOff>567440</xdr:colOff>
      <xdr:row>50</xdr:row>
      <xdr:rowOff>177879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86946C7-18E7-4C53-9483-5AB1F1ED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4206240"/>
          <a:ext cx="11860280" cy="5115639"/>
        </a:xfrm>
        <a:prstGeom prst="rect">
          <a:avLst/>
        </a:prstGeom>
      </xdr:spPr>
    </xdr:pic>
    <xdr:clientData/>
  </xdr:twoCellAnchor>
  <xdr:twoCellAnchor editAs="oneCell">
    <xdr:from>
      <xdr:col>19</xdr:col>
      <xdr:colOff>434340</xdr:colOff>
      <xdr:row>1</xdr:row>
      <xdr:rowOff>175260</xdr:rowOff>
    </xdr:from>
    <xdr:to>
      <xdr:col>25</xdr:col>
      <xdr:colOff>272903</xdr:colOff>
      <xdr:row>18</xdr:row>
      <xdr:rowOff>409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79380" y="35814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10</xdr:col>
      <xdr:colOff>342900</xdr:colOff>
      <xdr:row>0</xdr:row>
      <xdr:rowOff>0</xdr:rowOff>
    </xdr:from>
    <xdr:to>
      <xdr:col>16</xdr:col>
      <xdr:colOff>318602</xdr:colOff>
      <xdr:row>21</xdr:row>
      <xdr:rowOff>151052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91100" y="0"/>
          <a:ext cx="3343742" cy="39915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37" workbookViewId="0">
      <selection activeCell="P55" sqref="P55:Q55"/>
    </sheetView>
  </sheetViews>
  <sheetFormatPr defaultRowHeight="14.4" x14ac:dyDescent="0.3"/>
  <cols>
    <col min="1" max="28" width="6.77734375" customWidth="1"/>
  </cols>
  <sheetData>
    <row r="1" spans="1:37" x14ac:dyDescent="0.3">
      <c r="A1" s="92" t="s">
        <v>10</v>
      </c>
      <c r="B1" s="78"/>
      <c r="C1" s="78"/>
      <c r="D1" s="78"/>
      <c r="E1" s="78"/>
      <c r="F1" s="78"/>
      <c r="G1" s="6"/>
    </row>
    <row r="2" spans="1:37" x14ac:dyDescent="0.3">
      <c r="A2" s="92" t="s">
        <v>0</v>
      </c>
      <c r="B2" s="78"/>
      <c r="C2" s="78"/>
      <c r="D2" s="78"/>
      <c r="E2" s="19">
        <v>4</v>
      </c>
      <c r="F2" s="8" t="s">
        <v>4</v>
      </c>
      <c r="G2" s="6"/>
      <c r="I2" s="92" t="s">
        <v>54</v>
      </c>
      <c r="J2" s="78"/>
      <c r="K2" s="78"/>
      <c r="L2" s="78"/>
      <c r="M2" s="78">
        <f>E2*E3</f>
        <v>6.4</v>
      </c>
      <c r="N2" s="100"/>
      <c r="Q2" s="92" t="s">
        <v>29</v>
      </c>
      <c r="R2" s="78"/>
      <c r="S2" s="78"/>
      <c r="T2" s="8" t="s">
        <v>30</v>
      </c>
      <c r="U2" s="8" t="s">
        <v>31</v>
      </c>
      <c r="V2" s="6" t="s">
        <v>27</v>
      </c>
      <c r="AC2" s="92" t="s">
        <v>29</v>
      </c>
      <c r="AD2" s="78"/>
      <c r="AE2" s="78"/>
      <c r="AF2" s="8" t="s">
        <v>44</v>
      </c>
      <c r="AG2" s="8"/>
      <c r="AH2" s="8" t="s">
        <v>30</v>
      </c>
      <c r="AI2" s="8" t="s">
        <v>31</v>
      </c>
      <c r="AJ2" s="8" t="s">
        <v>112</v>
      </c>
      <c r="AK2" s="29" t="s">
        <v>113</v>
      </c>
    </row>
    <row r="3" spans="1:37" x14ac:dyDescent="0.3">
      <c r="A3" s="87" t="s">
        <v>1</v>
      </c>
      <c r="B3" s="83"/>
      <c r="C3" s="83"/>
      <c r="D3" s="83"/>
      <c r="E3" s="20">
        <v>1.6</v>
      </c>
      <c r="F3" s="1" t="s">
        <v>5</v>
      </c>
      <c r="G3" s="3"/>
      <c r="I3" s="87" t="s">
        <v>23</v>
      </c>
      <c r="J3" s="83"/>
      <c r="K3" s="83"/>
      <c r="L3" s="83"/>
      <c r="M3" s="83"/>
      <c r="N3" s="95"/>
      <c r="Q3" s="87" t="s">
        <v>134</v>
      </c>
      <c r="R3" s="83"/>
      <c r="S3" s="83"/>
      <c r="T3" s="1">
        <v>0.96</v>
      </c>
      <c r="U3" s="1">
        <v>0.98</v>
      </c>
      <c r="V3" s="3">
        <f>AVERAGE(T3:U3)</f>
        <v>0.97</v>
      </c>
      <c r="AC3" s="87" t="s">
        <v>133</v>
      </c>
      <c r="AD3" s="83"/>
      <c r="AE3" s="83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87" t="s">
        <v>3</v>
      </c>
      <c r="B4" s="83"/>
      <c r="C4" s="83"/>
      <c r="D4" s="83"/>
      <c r="E4" s="93" t="s">
        <v>2</v>
      </c>
      <c r="F4" s="93"/>
      <c r="G4" s="94"/>
      <c r="I4" s="87" t="s">
        <v>24</v>
      </c>
      <c r="J4" s="83"/>
      <c r="K4" s="83"/>
      <c r="L4" s="83"/>
      <c r="M4" s="83"/>
      <c r="N4" s="95"/>
      <c r="Q4" s="87" t="s">
        <v>49</v>
      </c>
      <c r="R4" s="83"/>
      <c r="S4" s="83"/>
      <c r="T4" s="1">
        <v>0.95</v>
      </c>
      <c r="U4" s="1">
        <v>0.97</v>
      </c>
      <c r="V4" s="3">
        <f t="shared" ref="V4:V12" si="1">AVERAGE(T4:U4)</f>
        <v>0.96</v>
      </c>
      <c r="AC4" s="87" t="s">
        <v>48</v>
      </c>
      <c r="AD4" s="83"/>
      <c r="AE4" s="83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87" t="s">
        <v>6</v>
      </c>
      <c r="B5" s="83"/>
      <c r="C5" s="83"/>
      <c r="D5" s="83"/>
      <c r="E5" s="21">
        <v>10000</v>
      </c>
      <c r="F5" s="1" t="s">
        <v>11</v>
      </c>
      <c r="G5" s="3"/>
      <c r="I5" s="7"/>
      <c r="J5" s="1"/>
      <c r="K5" s="83" t="s">
        <v>25</v>
      </c>
      <c r="L5" s="83"/>
      <c r="M5" s="83" t="s">
        <v>27</v>
      </c>
      <c r="N5" s="95"/>
      <c r="Q5" s="87" t="s">
        <v>32</v>
      </c>
      <c r="R5" s="83"/>
      <c r="S5" s="83"/>
      <c r="T5" s="1">
        <v>0.95</v>
      </c>
      <c r="U5" s="1">
        <v>0.97</v>
      </c>
      <c r="V5" s="3">
        <f t="shared" si="1"/>
        <v>0.96</v>
      </c>
      <c r="AC5" s="87" t="s">
        <v>32</v>
      </c>
      <c r="AD5" s="83"/>
      <c r="AE5" s="83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87" t="s">
        <v>7</v>
      </c>
      <c r="B6" s="83"/>
      <c r="C6" s="83"/>
      <c r="D6" s="83"/>
      <c r="E6" s="21">
        <v>0.9</v>
      </c>
      <c r="F6" s="1"/>
      <c r="G6" s="3"/>
      <c r="I6" s="87" t="s">
        <v>26</v>
      </c>
      <c r="J6" s="83"/>
      <c r="K6" s="93">
        <v>2</v>
      </c>
      <c r="L6" s="93"/>
      <c r="M6" s="83">
        <v>0.99</v>
      </c>
      <c r="N6" s="95"/>
      <c r="Q6" s="87" t="s">
        <v>33</v>
      </c>
      <c r="R6" s="83"/>
      <c r="S6" s="83"/>
      <c r="T6" s="1">
        <v>0.92</v>
      </c>
      <c r="U6" s="1">
        <v>0.96</v>
      </c>
      <c r="V6" s="3">
        <f t="shared" si="1"/>
        <v>0.94</v>
      </c>
      <c r="AC6" s="87" t="s">
        <v>45</v>
      </c>
      <c r="AD6" s="83"/>
      <c r="AE6" s="83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87" t="s">
        <v>8</v>
      </c>
      <c r="B7" s="83"/>
      <c r="C7" s="83"/>
      <c r="D7" s="83"/>
      <c r="E7" s="21">
        <v>3</v>
      </c>
      <c r="F7" s="1"/>
      <c r="G7" s="3"/>
      <c r="I7" s="87" t="s">
        <v>28</v>
      </c>
      <c r="J7" s="83"/>
      <c r="K7" s="93">
        <v>2</v>
      </c>
      <c r="L7" s="93"/>
      <c r="M7" s="83">
        <v>0.98</v>
      </c>
      <c r="N7" s="95"/>
      <c r="Q7" s="87" t="s">
        <v>34</v>
      </c>
      <c r="R7" s="83"/>
      <c r="S7" s="83"/>
      <c r="T7" s="1">
        <v>0.72</v>
      </c>
      <c r="U7" s="1">
        <v>0.82</v>
      </c>
      <c r="V7" s="3">
        <f t="shared" si="1"/>
        <v>0.77</v>
      </c>
      <c r="AC7" s="87" t="s">
        <v>33</v>
      </c>
      <c r="AD7" s="83"/>
      <c r="AE7" s="83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88" t="s">
        <v>9</v>
      </c>
      <c r="B8" s="89"/>
      <c r="C8" s="89"/>
      <c r="D8" s="89"/>
      <c r="E8" s="22">
        <v>2.2000000000000002</v>
      </c>
      <c r="F8" s="4"/>
      <c r="G8" s="5"/>
      <c r="I8" s="87" t="s">
        <v>271</v>
      </c>
      <c r="J8" s="83"/>
      <c r="K8" s="93">
        <v>0</v>
      </c>
      <c r="L8" s="93"/>
      <c r="M8" s="110">
        <f>V11</f>
        <v>0.95</v>
      </c>
      <c r="N8" s="115"/>
      <c r="Q8" s="87" t="s">
        <v>35</v>
      </c>
      <c r="R8" s="83"/>
      <c r="S8" s="83"/>
      <c r="T8" s="1">
        <v>0.7</v>
      </c>
      <c r="U8" s="1">
        <v>0.8</v>
      </c>
      <c r="V8" s="3">
        <f t="shared" si="1"/>
        <v>0.75</v>
      </c>
      <c r="AC8" s="87" t="s">
        <v>46</v>
      </c>
      <c r="AD8" s="83"/>
      <c r="AE8" s="83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01" t="s">
        <v>14</v>
      </c>
      <c r="B9" s="102"/>
      <c r="C9" s="102"/>
      <c r="D9" s="102"/>
      <c r="E9" s="102"/>
      <c r="F9" s="102"/>
      <c r="G9" s="103"/>
      <c r="I9" s="87" t="s">
        <v>50</v>
      </c>
      <c r="J9" s="83"/>
      <c r="K9" s="83"/>
      <c r="L9" s="83"/>
      <c r="M9" s="80">
        <f>M7^K7*M6^K6*M8^K8</f>
        <v>0.94128803999999988</v>
      </c>
      <c r="N9" s="113"/>
      <c r="Q9" s="87" t="s">
        <v>36</v>
      </c>
      <c r="R9" s="83"/>
      <c r="S9" s="83"/>
      <c r="T9" s="1">
        <v>0.75</v>
      </c>
      <c r="U9" s="1">
        <v>0.85</v>
      </c>
      <c r="V9" s="3">
        <f t="shared" si="1"/>
        <v>0.8</v>
      </c>
      <c r="AC9" s="87" t="s">
        <v>47</v>
      </c>
      <c r="AD9" s="83"/>
      <c r="AE9" s="83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04" t="s">
        <v>12</v>
      </c>
      <c r="B10" s="105"/>
      <c r="C10" s="105"/>
      <c r="D10" s="105"/>
      <c r="E10" s="105"/>
      <c r="F10" s="105"/>
      <c r="G10" s="106"/>
      <c r="I10" s="87" t="s">
        <v>51</v>
      </c>
      <c r="J10" s="83"/>
      <c r="K10" s="83"/>
      <c r="L10" s="83"/>
      <c r="M10" s="93">
        <v>0.97</v>
      </c>
      <c r="N10" s="94"/>
      <c r="Q10" s="87" t="s">
        <v>37</v>
      </c>
      <c r="R10" s="83"/>
      <c r="S10" s="83"/>
      <c r="T10" s="1">
        <v>0.8</v>
      </c>
      <c r="U10" s="1">
        <v>0.9</v>
      </c>
      <c r="V10" s="3">
        <f t="shared" si="1"/>
        <v>0.85000000000000009</v>
      </c>
      <c r="AC10" s="88" t="s">
        <v>34</v>
      </c>
      <c r="AD10" s="89"/>
      <c r="AE10" s="89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01" t="s">
        <v>13</v>
      </c>
      <c r="B11" s="102"/>
      <c r="C11" s="102"/>
      <c r="D11" s="102"/>
      <c r="E11" s="102"/>
      <c r="F11" s="102"/>
      <c r="G11" s="103"/>
      <c r="I11" s="88" t="s">
        <v>55</v>
      </c>
      <c r="J11" s="89"/>
      <c r="K11" s="89"/>
      <c r="L11" s="89"/>
      <c r="M11" s="90">
        <f>M2/M10/M9</f>
        <v>7.0094783572623509</v>
      </c>
      <c r="N11" s="114"/>
      <c r="Q11" s="87" t="s">
        <v>38</v>
      </c>
      <c r="R11" s="83"/>
      <c r="S11" s="83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92" t="s">
        <v>17</v>
      </c>
      <c r="B12" s="78"/>
      <c r="C12" s="78"/>
      <c r="D12" s="78"/>
      <c r="E12" s="78" t="s">
        <v>18</v>
      </c>
      <c r="F12" s="78"/>
      <c r="G12" s="100"/>
      <c r="Q12" s="88" t="s">
        <v>39</v>
      </c>
      <c r="R12" s="89"/>
      <c r="S12" s="89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87" t="s">
        <v>19</v>
      </c>
      <c r="B13" s="83"/>
      <c r="C13" s="83"/>
      <c r="D13" s="83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87" t="s">
        <v>15</v>
      </c>
      <c r="B14" s="83"/>
      <c r="C14" s="83"/>
      <c r="D14" s="83"/>
      <c r="E14" s="21">
        <v>400</v>
      </c>
      <c r="F14" s="1" t="s">
        <v>16</v>
      </c>
      <c r="G14" s="3"/>
    </row>
    <row r="15" spans="1:37" x14ac:dyDescent="0.3">
      <c r="A15" s="88" t="s">
        <v>21</v>
      </c>
      <c r="B15" s="89"/>
      <c r="C15" s="89"/>
      <c r="D15" s="89"/>
      <c r="E15" s="22">
        <v>300</v>
      </c>
      <c r="F15" s="4" t="s">
        <v>22</v>
      </c>
      <c r="G15" s="5"/>
    </row>
    <row r="19" spans="9:26" x14ac:dyDescent="0.3">
      <c r="I19" s="92" t="s">
        <v>123</v>
      </c>
      <c r="J19" s="100"/>
      <c r="K19" s="92">
        <v>3000</v>
      </c>
      <c r="L19" s="78"/>
      <c r="M19" s="78"/>
      <c r="N19" s="100"/>
      <c r="O19" s="78">
        <v>1500</v>
      </c>
      <c r="P19" s="78"/>
      <c r="Q19" s="78"/>
      <c r="R19" s="78"/>
      <c r="S19" s="92">
        <v>1000</v>
      </c>
      <c r="T19" s="78"/>
      <c r="U19" s="78"/>
      <c r="V19" s="100"/>
      <c r="W19" s="78">
        <v>750</v>
      </c>
      <c r="X19" s="78"/>
      <c r="Y19" s="78"/>
      <c r="Z19" s="100"/>
    </row>
    <row r="20" spans="9:26" x14ac:dyDescent="0.3">
      <c r="I20" s="88" t="s">
        <v>118</v>
      </c>
      <c r="J20" s="112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87">
        <v>0.37</v>
      </c>
      <c r="J21" s="83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87">
        <v>0.55000000000000004</v>
      </c>
      <c r="J22" s="83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87">
        <v>0.75</v>
      </c>
      <c r="J23" s="83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87">
        <v>1.1000000000000001</v>
      </c>
      <c r="J24" s="83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87">
        <v>1.5</v>
      </c>
      <c r="J25" s="83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87">
        <v>2.2000000000000002</v>
      </c>
      <c r="J26" s="83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87">
        <v>3</v>
      </c>
      <c r="J27" s="83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87">
        <v>4</v>
      </c>
      <c r="J28" s="83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87">
        <v>5.5</v>
      </c>
      <c r="J29" s="83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87">
        <v>7.5</v>
      </c>
      <c r="J30" s="83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87">
        <v>11</v>
      </c>
      <c r="J31" s="83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87">
        <v>15</v>
      </c>
      <c r="J32" s="83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87">
        <v>18.5</v>
      </c>
      <c r="J33" s="83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87">
        <v>22</v>
      </c>
      <c r="J34" s="83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88">
        <v>30</v>
      </c>
      <c r="J35" s="89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11" t="s">
        <v>121</v>
      </c>
      <c r="H36" s="111"/>
      <c r="I36" s="101">
        <f>_xlfn.MINIFS(I21:J35,I21:J35,"&gt;="&amp;M11)</f>
        <v>7.5</v>
      </c>
      <c r="J36" s="102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B38" s="1"/>
      <c r="C38" s="16"/>
      <c r="D38" s="16"/>
      <c r="E38" s="16"/>
      <c r="F38" s="16"/>
      <c r="G38" s="92" t="s">
        <v>40</v>
      </c>
      <c r="H38" s="78"/>
      <c r="I38" s="78"/>
      <c r="J38" s="100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6"/>
      <c r="C39" s="16"/>
      <c r="D39" s="16"/>
      <c r="E39" s="16"/>
      <c r="F39" s="16"/>
      <c r="G39" s="87" t="s">
        <v>43</v>
      </c>
      <c r="H39" s="83"/>
      <c r="I39" s="83"/>
      <c r="J39" s="95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6"/>
      <c r="C40" s="16"/>
      <c r="D40" s="1"/>
      <c r="E40" s="1"/>
      <c r="F40" s="1"/>
      <c r="G40" s="87" t="s">
        <v>120</v>
      </c>
      <c r="H40" s="83"/>
      <c r="I40" s="83" t="s">
        <v>119</v>
      </c>
      <c r="J40" s="95"/>
      <c r="K40" s="27" t="s">
        <v>122</v>
      </c>
      <c r="L40" s="4" t="s">
        <v>72</v>
      </c>
      <c r="M40" s="4"/>
      <c r="N40" s="4" t="s">
        <v>27</v>
      </c>
      <c r="O40" s="27" t="s">
        <v>122</v>
      </c>
      <c r="P40" s="4" t="s">
        <v>72</v>
      </c>
      <c r="Q40" s="4"/>
      <c r="R40" s="5" t="s">
        <v>27</v>
      </c>
      <c r="S40" s="27" t="s">
        <v>122</v>
      </c>
      <c r="T40" s="4" t="s">
        <v>72</v>
      </c>
      <c r="U40" s="4"/>
      <c r="V40" s="4" t="s">
        <v>27</v>
      </c>
      <c r="W40" s="27" t="s">
        <v>122</v>
      </c>
      <c r="X40" s="4" t="s">
        <v>72</v>
      </c>
      <c r="Y40" s="4"/>
      <c r="Z40" s="5" t="s">
        <v>27</v>
      </c>
    </row>
    <row r="41" spans="2:26" x14ac:dyDescent="0.3">
      <c r="B41" s="1"/>
      <c r="C41" s="1"/>
      <c r="D41" s="1"/>
      <c r="E41" s="1"/>
      <c r="F41" s="1"/>
      <c r="G41" s="107">
        <v>160</v>
      </c>
      <c r="H41" s="108"/>
      <c r="I41" s="96">
        <f t="shared" ref="I41:I46" si="4">$E$3*60000/PI()/G41</f>
        <v>190.98593171027443</v>
      </c>
      <c r="J41" s="97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1"/>
      <c r="C42" s="1"/>
      <c r="D42" s="1"/>
      <c r="E42" s="1"/>
      <c r="F42" s="1"/>
      <c r="G42" s="109">
        <v>200</v>
      </c>
      <c r="H42" s="110"/>
      <c r="I42" s="81">
        <f t="shared" si="4"/>
        <v>152.78874536821954</v>
      </c>
      <c r="J42" s="98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1"/>
      <c r="C43" s="1"/>
      <c r="D43" s="1"/>
      <c r="E43" s="1"/>
      <c r="F43" s="1"/>
      <c r="G43" s="87">
        <v>250</v>
      </c>
      <c r="H43" s="83"/>
      <c r="I43" s="81">
        <f t="shared" si="4"/>
        <v>122.23099629457563</v>
      </c>
      <c r="J43" s="98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1"/>
      <c r="C44" s="1"/>
      <c r="D44" s="1"/>
      <c r="E44" s="1"/>
      <c r="F44" s="1"/>
      <c r="G44" s="87">
        <v>315</v>
      </c>
      <c r="H44" s="83"/>
      <c r="I44" s="81">
        <f t="shared" si="4"/>
        <v>97.008727217917169</v>
      </c>
      <c r="J44" s="98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/>
      <c r="C45" s="1"/>
      <c r="D45" s="1"/>
      <c r="E45" s="1"/>
      <c r="F45" s="1"/>
      <c r="G45" s="87">
        <v>400</v>
      </c>
      <c r="H45" s="83"/>
      <c r="I45" s="81">
        <f t="shared" si="4"/>
        <v>76.394372684109769</v>
      </c>
      <c r="J45" s="98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1"/>
      <c r="C46" s="1"/>
      <c r="D46" s="1"/>
      <c r="E46" s="1"/>
      <c r="F46" s="1"/>
      <c r="G46" s="88">
        <v>500</v>
      </c>
      <c r="H46" s="89"/>
      <c r="I46" s="91">
        <f t="shared" si="4"/>
        <v>61.115498147287816</v>
      </c>
      <c r="J46" s="99"/>
      <c r="K46" s="14">
        <f t="shared" si="5"/>
        <v>47.369326729908593</v>
      </c>
      <c r="L46" s="4" t="s">
        <v>101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92" t="s">
        <v>110</v>
      </c>
      <c r="C48" s="78"/>
      <c r="D48" s="78"/>
      <c r="E48" s="78"/>
      <c r="F48" s="78" t="str">
        <f>P46</f>
        <v>Цилиндрическая 1</v>
      </c>
      <c r="G48" s="100"/>
      <c r="H48" s="16"/>
      <c r="I48" s="16"/>
      <c r="J48" s="16"/>
      <c r="K48" s="36"/>
      <c r="L48" s="83" t="s">
        <v>56</v>
      </c>
      <c r="M48" s="83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87" t="s">
        <v>41</v>
      </c>
      <c r="C49" s="83"/>
      <c r="D49" s="83"/>
      <c r="E49" s="83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87" t="s">
        <v>96</v>
      </c>
      <c r="C50" s="83"/>
      <c r="D50" s="83"/>
      <c r="E50" s="83"/>
      <c r="F50" s="16">
        <f>P36</f>
        <v>1440</v>
      </c>
      <c r="G50" s="50" t="s">
        <v>105</v>
      </c>
      <c r="H50" s="16"/>
      <c r="P50" s="1"/>
      <c r="Q50" s="30"/>
      <c r="V50" s="25"/>
      <c r="X50" s="1"/>
      <c r="Y50" s="30"/>
      <c r="Z50" s="1"/>
    </row>
    <row r="51" spans="2:26" x14ac:dyDescent="0.3">
      <c r="B51" s="87" t="s">
        <v>104</v>
      </c>
      <c r="C51" s="83"/>
      <c r="D51" s="83"/>
      <c r="E51" s="83"/>
      <c r="F51" s="1">
        <f>F50*PI()/30</f>
        <v>150.79644737231007</v>
      </c>
      <c r="G51" s="50" t="s">
        <v>106</v>
      </c>
      <c r="H51" s="16"/>
      <c r="I51" s="101" t="s">
        <v>114</v>
      </c>
      <c r="J51" s="103"/>
      <c r="K51" s="33" t="s">
        <v>27</v>
      </c>
      <c r="L51" s="78" t="s">
        <v>122</v>
      </c>
      <c r="M51" s="78"/>
      <c r="N51" s="82" t="s">
        <v>115</v>
      </c>
      <c r="O51" s="82"/>
      <c r="P51" s="78" t="s">
        <v>116</v>
      </c>
      <c r="Q51" s="78"/>
      <c r="R51" s="82" t="s">
        <v>118</v>
      </c>
      <c r="S51" s="82"/>
      <c r="T51" s="49"/>
      <c r="U51" s="49"/>
      <c r="V51" s="49"/>
      <c r="X51" s="1"/>
      <c r="Y51" s="30"/>
      <c r="Z51" s="1"/>
    </row>
    <row r="52" spans="2:26" x14ac:dyDescent="0.3">
      <c r="B52" s="87" t="s">
        <v>42</v>
      </c>
      <c r="C52" s="83"/>
      <c r="D52" s="83"/>
      <c r="E52" s="83"/>
      <c r="F52" s="45">
        <f>I41</f>
        <v>190.98593171027443</v>
      </c>
      <c r="G52" s="50" t="s">
        <v>105</v>
      </c>
      <c r="H52" s="16"/>
      <c r="I52" s="87" t="s">
        <v>117</v>
      </c>
      <c r="J52" s="83"/>
      <c r="K52" s="42">
        <f>R36</f>
        <v>0.872</v>
      </c>
      <c r="L52" s="78">
        <v>1</v>
      </c>
      <c r="M52" s="78"/>
      <c r="N52" s="84">
        <f>F50</f>
        <v>1440</v>
      </c>
      <c r="O52" s="84"/>
      <c r="P52" s="79">
        <f ca="1">F55</f>
        <v>46.89699496864425</v>
      </c>
      <c r="Q52" s="79"/>
      <c r="R52" s="82">
        <f t="shared" ref="R52:R57" ca="1" si="17">P52*N52*PI()/1000/30</f>
        <v>7.0719002337086527</v>
      </c>
      <c r="S52" s="82"/>
      <c r="T52" s="16"/>
      <c r="U52" s="30"/>
      <c r="X52" s="1"/>
      <c r="Y52" s="30"/>
      <c r="Z52" s="1"/>
    </row>
    <row r="53" spans="2:26" x14ac:dyDescent="0.3">
      <c r="B53" s="87" t="s">
        <v>107</v>
      </c>
      <c r="C53" s="83"/>
      <c r="D53" s="83"/>
      <c r="E53" s="83"/>
      <c r="F53" s="16">
        <f>G41</f>
        <v>160</v>
      </c>
      <c r="G53" s="50" t="s">
        <v>16</v>
      </c>
      <c r="H53" s="16"/>
      <c r="I53" s="87" t="s">
        <v>28</v>
      </c>
      <c r="J53" s="83"/>
      <c r="K53" s="7">
        <f>M7</f>
        <v>0.98</v>
      </c>
      <c r="L53" s="83">
        <v>1</v>
      </c>
      <c r="M53" s="83"/>
      <c r="N53" s="85">
        <f>N52/L53</f>
        <v>1440</v>
      </c>
      <c r="O53" s="85"/>
      <c r="P53" s="80">
        <f ca="1">P52*L53*K53</f>
        <v>45.959055069271365</v>
      </c>
      <c r="Q53" s="80"/>
      <c r="R53" s="86">
        <f t="shared" ca="1" si="17"/>
        <v>6.9304622290344788</v>
      </c>
      <c r="S53" s="86"/>
      <c r="T53" s="1"/>
      <c r="U53" s="73"/>
      <c r="V53" s="74"/>
      <c r="X53" s="36"/>
      <c r="Y53" s="30"/>
      <c r="Z53" s="1"/>
    </row>
    <row r="54" spans="2:26" x14ac:dyDescent="0.3">
      <c r="B54" s="87" t="s">
        <v>97</v>
      </c>
      <c r="C54" s="83"/>
      <c r="D54" s="83"/>
      <c r="E54" s="83"/>
      <c r="F54" s="44">
        <f>E2*F53/2</f>
        <v>320</v>
      </c>
      <c r="G54" s="50" t="s">
        <v>100</v>
      </c>
      <c r="H54" s="16"/>
      <c r="I54" s="87" t="s">
        <v>95</v>
      </c>
      <c r="J54" s="83"/>
      <c r="K54" s="7">
        <f>M6</f>
        <v>0.99</v>
      </c>
      <c r="L54" s="83">
        <v>1</v>
      </c>
      <c r="M54" s="83"/>
      <c r="N54" s="85">
        <f>N53/L54</f>
        <v>1440</v>
      </c>
      <c r="O54" s="85"/>
      <c r="P54" s="80">
        <f ca="1">P53*L54*K54</f>
        <v>45.499464518578648</v>
      </c>
      <c r="Q54" s="80"/>
      <c r="R54" s="86">
        <f t="shared" ca="1" si="17"/>
        <v>6.8611576067441344</v>
      </c>
      <c r="S54" s="86"/>
      <c r="T54" s="1"/>
      <c r="U54" s="73"/>
      <c r="V54" s="74"/>
      <c r="W54" s="53"/>
      <c r="X54" s="1"/>
      <c r="Y54" s="30"/>
      <c r="Z54" s="1"/>
    </row>
    <row r="55" spans="2:26" x14ac:dyDescent="0.3">
      <c r="B55" s="87" t="s">
        <v>98</v>
      </c>
      <c r="C55" s="83"/>
      <c r="D55" s="83"/>
      <c r="E55" s="83"/>
      <c r="F55" s="1">
        <f ca="1">F54/F59/F49</f>
        <v>46.89699496864425</v>
      </c>
      <c r="G55" s="50" t="s">
        <v>100</v>
      </c>
      <c r="H55" s="16"/>
      <c r="I55" s="87" t="s">
        <v>94</v>
      </c>
      <c r="J55" s="83"/>
      <c r="K55" s="43">
        <f ca="1">Q41</f>
        <v>0.96143805509807656</v>
      </c>
      <c r="L55" s="80">
        <f>F49</f>
        <v>7.5398223686155026</v>
      </c>
      <c r="M55" s="80"/>
      <c r="N55" s="80">
        <f>N54/L55</f>
        <v>190.98593171027443</v>
      </c>
      <c r="O55" s="80"/>
      <c r="P55" s="81">
        <f ca="1">P54*L55*K55</f>
        <v>329.82890125747264</v>
      </c>
      <c r="Q55" s="81"/>
      <c r="R55" s="86">
        <f t="shared" ca="1" si="17"/>
        <v>6.5965780251494532</v>
      </c>
      <c r="S55" s="86"/>
      <c r="T55" s="1"/>
      <c r="U55" s="73"/>
      <c r="V55" s="74"/>
      <c r="W55" s="36"/>
      <c r="X55" s="1"/>
      <c r="Y55" s="30"/>
      <c r="Z55" s="1"/>
    </row>
    <row r="56" spans="2:26" x14ac:dyDescent="0.3">
      <c r="B56" s="87" t="s">
        <v>99</v>
      </c>
      <c r="C56" s="83"/>
      <c r="D56" s="83"/>
      <c r="E56" s="83"/>
      <c r="F56" s="1">
        <f ca="1">F55*F51/1000</f>
        <v>7.0719002337086527</v>
      </c>
      <c r="G56" s="50" t="s">
        <v>108</v>
      </c>
      <c r="I56" s="87" t="s">
        <v>28</v>
      </c>
      <c r="J56" s="83"/>
      <c r="K56" s="7">
        <f>M7</f>
        <v>0.98</v>
      </c>
      <c r="L56" s="83">
        <v>1</v>
      </c>
      <c r="M56" s="83"/>
      <c r="N56" s="80">
        <f>N55/L56</f>
        <v>190.98593171027443</v>
      </c>
      <c r="O56" s="80"/>
      <c r="P56" s="81">
        <f ca="1">P55*L56*K56</f>
        <v>323.23232323232315</v>
      </c>
      <c r="Q56" s="81"/>
      <c r="R56" s="86">
        <f t="shared" ca="1" si="17"/>
        <v>6.4646464646464636</v>
      </c>
      <c r="S56" s="86"/>
      <c r="T56" s="1"/>
      <c r="U56" s="73"/>
      <c r="V56" s="74"/>
    </row>
    <row r="57" spans="2:26" x14ac:dyDescent="0.3">
      <c r="B57" s="87" t="s">
        <v>102</v>
      </c>
      <c r="C57" s="83"/>
      <c r="D57" s="83"/>
      <c r="E57" s="83"/>
      <c r="F57" s="1">
        <f>Q36</f>
        <v>2.2000000000000002</v>
      </c>
      <c r="G57" s="50"/>
      <c r="I57" s="87" t="s">
        <v>95</v>
      </c>
      <c r="J57" s="83"/>
      <c r="K57" s="7">
        <f>M6</f>
        <v>0.99</v>
      </c>
      <c r="L57" s="83">
        <v>1</v>
      </c>
      <c r="M57" s="83"/>
      <c r="N57" s="80">
        <f>N56/L57</f>
        <v>190.98593171027443</v>
      </c>
      <c r="O57" s="80"/>
      <c r="P57" s="81">
        <f ca="1">P56*L57*K57</f>
        <v>319.99999999999994</v>
      </c>
      <c r="Q57" s="81"/>
      <c r="R57" s="86">
        <f t="shared" ca="1" si="17"/>
        <v>6.3999999999999995</v>
      </c>
      <c r="S57" s="86"/>
      <c r="T57" s="1"/>
      <c r="U57" s="73"/>
      <c r="V57" s="74"/>
    </row>
    <row r="58" spans="2:26" x14ac:dyDescent="0.3">
      <c r="B58" s="87" t="s">
        <v>103</v>
      </c>
      <c r="C58" s="83"/>
      <c r="D58" s="83"/>
      <c r="E58" s="83"/>
      <c r="F58" s="44">
        <f>MAX(F57,E8)</f>
        <v>2.2000000000000002</v>
      </c>
      <c r="G58" s="50"/>
      <c r="I58" s="88" t="s">
        <v>139</v>
      </c>
      <c r="J58" s="89"/>
      <c r="K58" s="12"/>
      <c r="L58" s="4"/>
      <c r="M58" s="4"/>
      <c r="N58" s="90">
        <f>N57</f>
        <v>190.98593171027443</v>
      </c>
      <c r="O58" s="90"/>
      <c r="P58" s="91">
        <f ca="1">P57</f>
        <v>319.99999999999994</v>
      </c>
      <c r="Q58" s="91"/>
      <c r="R58" s="4"/>
      <c r="S58" s="4"/>
      <c r="T58" s="16"/>
      <c r="U58" s="16"/>
      <c r="V58" s="16"/>
    </row>
    <row r="59" spans="2:26" x14ac:dyDescent="0.3">
      <c r="B59" s="87" t="s">
        <v>109</v>
      </c>
      <c r="C59" s="83"/>
      <c r="D59" s="83"/>
      <c r="E59" s="83"/>
      <c r="F59" s="1">
        <f ca="1">K57*K55*K56*K54*K53</f>
        <v>0.90499014246468046</v>
      </c>
      <c r="G59" s="50"/>
    </row>
    <row r="60" spans="2:26" x14ac:dyDescent="0.3">
      <c r="B60" s="87" t="s">
        <v>111</v>
      </c>
      <c r="C60" s="83"/>
      <c r="D60" s="83"/>
      <c r="E60" s="83"/>
      <c r="F60" s="1">
        <f ca="1">F59*K52</f>
        <v>0.78915140422920138</v>
      </c>
      <c r="G60" s="50"/>
    </row>
    <row r="61" spans="2:26" x14ac:dyDescent="0.3">
      <c r="B61" s="83" t="s">
        <v>138</v>
      </c>
      <c r="C61" s="83"/>
      <c r="D61" s="83"/>
      <c r="E61" s="83"/>
      <c r="F61" s="75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Z57"/>
  <sheetViews>
    <sheetView zoomScaleNormal="100" workbookViewId="0">
      <selection activeCell="E18" sqref="E18"/>
    </sheetView>
  </sheetViews>
  <sheetFormatPr defaultRowHeight="14.4" x14ac:dyDescent="0.3"/>
  <cols>
    <col min="1" max="30" width="6.77734375" customWidth="1"/>
  </cols>
  <sheetData>
    <row r="1" spans="1:26" x14ac:dyDescent="0.3">
      <c r="A1" s="83" t="s">
        <v>140</v>
      </c>
      <c r="B1" s="83"/>
      <c r="C1" s="83"/>
      <c r="D1" s="83"/>
      <c r="E1" s="83"/>
      <c r="F1" s="83"/>
    </row>
    <row r="2" spans="1:26" x14ac:dyDescent="0.3">
      <c r="A2" s="87" t="s">
        <v>110</v>
      </c>
      <c r="B2" s="83"/>
      <c r="C2" s="83"/>
      <c r="D2" s="83"/>
      <c r="E2" s="83" t="str">
        <f>Электродвигатель!F48</f>
        <v>Цилиндрическая 1</v>
      </c>
      <c r="F2" s="95"/>
      <c r="K2" s="92" t="s">
        <v>153</v>
      </c>
      <c r="L2" s="78"/>
      <c r="M2" s="78"/>
      <c r="N2" s="78"/>
      <c r="O2" s="78"/>
      <c r="P2" s="78"/>
      <c r="Q2" s="78"/>
      <c r="R2" s="1"/>
    </row>
    <row r="3" spans="1:26" x14ac:dyDescent="0.3">
      <c r="A3" s="87" t="s">
        <v>41</v>
      </c>
      <c r="B3" s="83"/>
      <c r="C3" s="83"/>
      <c r="D3" s="83"/>
      <c r="E3" s="56">
        <f>Электродвигатель!$F$49</f>
        <v>7.5398223686155026</v>
      </c>
      <c r="F3" s="50"/>
      <c r="K3" s="7" t="s">
        <v>156</v>
      </c>
      <c r="L3" s="16" t="s">
        <v>150</v>
      </c>
      <c r="M3" s="1" t="s">
        <v>151</v>
      </c>
      <c r="N3" s="1" t="s">
        <v>148</v>
      </c>
      <c r="O3" s="1" t="s">
        <v>154</v>
      </c>
      <c r="P3" s="1" t="s">
        <v>155</v>
      </c>
      <c r="Q3" s="1" t="s">
        <v>152</v>
      </c>
      <c r="R3" s="25" t="s">
        <v>177</v>
      </c>
    </row>
    <row r="4" spans="1:26" x14ac:dyDescent="0.3">
      <c r="A4" s="87" t="s">
        <v>42</v>
      </c>
      <c r="B4" s="83"/>
      <c r="C4" s="83"/>
      <c r="D4" s="83"/>
      <c r="E4" s="56">
        <f>Электродвигатель!$F$52</f>
        <v>190.98593171027443</v>
      </c>
      <c r="F4" s="50" t="s">
        <v>105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 ca="1">IF(P4&gt;$E$15,1,0)</f>
        <v>1</v>
      </c>
    </row>
    <row r="5" spans="1:26" x14ac:dyDescent="0.3">
      <c r="A5" s="87" t="s">
        <v>97</v>
      </c>
      <c r="B5" s="83"/>
      <c r="C5" s="83"/>
      <c r="D5" s="83"/>
      <c r="E5" s="25">
        <f>Электродвигатель!$F$54</f>
        <v>320</v>
      </c>
      <c r="F5" s="50" t="s">
        <v>100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ca="1" si="0">IF(P5&gt;$E$15,1,0)</f>
        <v>1</v>
      </c>
    </row>
    <row r="6" spans="1:26" x14ac:dyDescent="0.3">
      <c r="A6" s="87" t="s">
        <v>103</v>
      </c>
      <c r="B6" s="83"/>
      <c r="C6" s="83"/>
      <c r="D6" s="83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ca="1" si="0"/>
        <v>0</v>
      </c>
    </row>
    <row r="7" spans="1:26" x14ac:dyDescent="0.3">
      <c r="A7" s="111" t="s">
        <v>147</v>
      </c>
      <c r="B7" s="111"/>
      <c r="C7" s="111"/>
      <c r="D7" s="111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ca="1" si="0"/>
        <v>0</v>
      </c>
    </row>
    <row r="8" spans="1:26" x14ac:dyDescent="0.3">
      <c r="A8" s="111" t="s">
        <v>141</v>
      </c>
      <c r="B8" s="111"/>
      <c r="C8" s="111"/>
      <c r="D8" s="111"/>
      <c r="E8" s="111"/>
      <c r="F8" s="111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ca="1" si="0"/>
        <v>1</v>
      </c>
      <c r="S8" s="1"/>
      <c r="V8" t="s">
        <v>135</v>
      </c>
    </row>
    <row r="9" spans="1:26" x14ac:dyDescent="0.3">
      <c r="A9" s="111" t="s">
        <v>146</v>
      </c>
      <c r="B9" s="111"/>
      <c r="C9" s="111"/>
      <c r="D9" s="111"/>
      <c r="E9">
        <f>Электродвигатель!$E$15</f>
        <v>300</v>
      </c>
      <c r="F9" t="s">
        <v>22</v>
      </c>
      <c r="K9" s="7">
        <v>6</v>
      </c>
      <c r="L9" s="1">
        <v>49</v>
      </c>
      <c r="M9" s="1">
        <v>28.5</v>
      </c>
      <c r="N9" s="1">
        <v>0.15</v>
      </c>
      <c r="O9" s="1">
        <v>240</v>
      </c>
      <c r="P9" s="1">
        <v>49.35</v>
      </c>
      <c r="Q9" s="49">
        <v>69.400000000000006</v>
      </c>
      <c r="R9" s="1">
        <f t="shared" ca="1" si="0"/>
        <v>1</v>
      </c>
      <c r="S9" s="54"/>
      <c r="V9" t="s">
        <v>136</v>
      </c>
    </row>
    <row r="10" spans="1:26" x14ac:dyDescent="0.3">
      <c r="A10" s="87" t="s">
        <v>8</v>
      </c>
      <c r="B10" s="83"/>
      <c r="C10" s="83"/>
      <c r="D10" s="83"/>
      <c r="E10" s="16">
        <f>Электродвигатель!$E$7</f>
        <v>3</v>
      </c>
      <c r="F10" s="50" t="s">
        <v>137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ca="1" si="0"/>
        <v>0</v>
      </c>
      <c r="S10" s="54"/>
      <c r="V10" t="s">
        <v>207</v>
      </c>
    </row>
    <row r="11" spans="1:26" x14ac:dyDescent="0.3">
      <c r="A11" s="87" t="s">
        <v>217</v>
      </c>
      <c r="B11" s="83"/>
      <c r="C11" s="83"/>
      <c r="D11" s="83"/>
      <c r="E11" s="47" t="s">
        <v>101</v>
      </c>
      <c r="F11" s="3" t="s">
        <v>132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ca="1" si="0"/>
        <v>0</v>
      </c>
      <c r="S11" s="54"/>
      <c r="V11" t="s">
        <v>239</v>
      </c>
    </row>
    <row r="12" spans="1:26" x14ac:dyDescent="0.3">
      <c r="A12" s="87" t="s">
        <v>130</v>
      </c>
      <c r="B12" s="83"/>
      <c r="C12" s="83"/>
      <c r="D12" s="83"/>
      <c r="E12" s="55" t="s">
        <v>101</v>
      </c>
      <c r="F12" s="5" t="s">
        <v>131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ca="1" si="0"/>
        <v>0</v>
      </c>
      <c r="S12" s="54"/>
    </row>
    <row r="13" spans="1:26" x14ac:dyDescent="0.3">
      <c r="A13" s="111" t="s">
        <v>142</v>
      </c>
      <c r="B13" s="111"/>
      <c r="C13" s="111"/>
      <c r="D13" s="111"/>
      <c r="E13" s="111"/>
      <c r="F13" s="111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ca="1" si="0"/>
        <v>0</v>
      </c>
      <c r="S13" s="54"/>
    </row>
    <row r="14" spans="1:26" x14ac:dyDescent="0.3">
      <c r="A14" s="111" t="s">
        <v>145</v>
      </c>
      <c r="B14" s="111"/>
      <c r="C14" s="111"/>
      <c r="D14" s="111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ca="1" si="0"/>
        <v>0</v>
      </c>
      <c r="S14" s="54"/>
    </row>
    <row r="15" spans="1:26" x14ac:dyDescent="0.3">
      <c r="A15" s="83" t="s">
        <v>143</v>
      </c>
      <c r="B15" s="83"/>
      <c r="C15" s="83"/>
      <c r="D15" s="83"/>
      <c r="E15">
        <f ca="1"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ca="1" si="0"/>
        <v>0</v>
      </c>
    </row>
    <row r="16" spans="1:26" x14ac:dyDescent="0.3">
      <c r="A16" s="83" t="s">
        <v>144</v>
      </c>
      <c r="B16" s="83"/>
      <c r="C16" s="83"/>
      <c r="D16" s="83"/>
      <c r="E16">
        <f ca="1">Вал!$R$18</f>
        <v>50</v>
      </c>
      <c r="F16" t="s">
        <v>16</v>
      </c>
      <c r="Z16" s="59"/>
    </row>
    <row r="17" spans="1:26" x14ac:dyDescent="0.3">
      <c r="H17" s="125" t="s">
        <v>156</v>
      </c>
      <c r="I17" s="126"/>
      <c r="J17" s="126"/>
      <c r="K17" s="126"/>
      <c r="L17" s="60">
        <v>7</v>
      </c>
      <c r="M17" s="61"/>
      <c r="O17" s="125" t="s">
        <v>156</v>
      </c>
      <c r="P17" s="126"/>
      <c r="Q17" s="126"/>
      <c r="R17" s="126"/>
      <c r="S17" s="60">
        <v>8</v>
      </c>
      <c r="T17" s="61"/>
      <c r="Z17" s="59"/>
    </row>
    <row r="18" spans="1:26" x14ac:dyDescent="0.3">
      <c r="H18" s="123" t="s">
        <v>152</v>
      </c>
      <c r="I18" s="124"/>
      <c r="J18" s="124"/>
      <c r="K18" s="124"/>
      <c r="L18" s="64">
        <v>57</v>
      </c>
      <c r="M18" s="62" t="s">
        <v>159</v>
      </c>
      <c r="O18" s="123" t="s">
        <v>152</v>
      </c>
      <c r="P18" s="124"/>
      <c r="Q18" s="124"/>
      <c r="R18" s="124"/>
      <c r="S18" s="64">
        <v>64</v>
      </c>
      <c r="T18" s="62" t="s">
        <v>159</v>
      </c>
      <c r="Z18" s="59"/>
    </row>
    <row r="19" spans="1:26" x14ac:dyDescent="0.3">
      <c r="H19" s="123" t="s">
        <v>157</v>
      </c>
      <c r="I19" s="124"/>
      <c r="J19" s="124"/>
      <c r="K19" s="124"/>
      <c r="L19" s="63">
        <v>20</v>
      </c>
      <c r="M19" s="62" t="s">
        <v>159</v>
      </c>
      <c r="O19" s="123" t="s">
        <v>157</v>
      </c>
      <c r="P19" s="124"/>
      <c r="Q19" s="124"/>
      <c r="R19" s="124"/>
      <c r="S19" s="63">
        <v>25.3</v>
      </c>
      <c r="T19" s="62" t="s">
        <v>159</v>
      </c>
      <c r="Z19" s="59"/>
    </row>
    <row r="20" spans="1:26" x14ac:dyDescent="0.3">
      <c r="H20" s="123" t="s">
        <v>149</v>
      </c>
      <c r="I20" s="124"/>
      <c r="J20" s="124"/>
      <c r="K20" s="124"/>
      <c r="L20" s="63">
        <v>180</v>
      </c>
      <c r="M20" s="62" t="s">
        <v>16</v>
      </c>
      <c r="O20" s="123" t="s">
        <v>149</v>
      </c>
      <c r="P20" s="124"/>
      <c r="Q20" s="124"/>
      <c r="R20" s="124"/>
      <c r="S20" s="63">
        <v>180</v>
      </c>
      <c r="T20" s="62" t="s">
        <v>16</v>
      </c>
      <c r="Z20" s="59"/>
    </row>
    <row r="21" spans="1:26" x14ac:dyDescent="0.3">
      <c r="H21" s="123" t="s">
        <v>158</v>
      </c>
      <c r="I21" s="124"/>
      <c r="J21" s="124"/>
      <c r="K21" s="124"/>
      <c r="L21" s="63">
        <v>2.5</v>
      </c>
      <c r="M21" s="62" t="s">
        <v>16</v>
      </c>
      <c r="O21" s="123" t="s">
        <v>158</v>
      </c>
      <c r="P21" s="124"/>
      <c r="Q21" s="124"/>
      <c r="R21" s="124"/>
      <c r="S21" s="63">
        <v>3</v>
      </c>
      <c r="T21" s="62" t="s">
        <v>16</v>
      </c>
      <c r="Z21" s="59"/>
    </row>
    <row r="22" spans="1:26" x14ac:dyDescent="0.3">
      <c r="H22" s="123" t="s">
        <v>0</v>
      </c>
      <c r="I22" s="124"/>
      <c r="J22" s="124"/>
      <c r="K22" s="124"/>
      <c r="L22" s="63">
        <v>2016</v>
      </c>
      <c r="M22" s="62" t="s">
        <v>162</v>
      </c>
      <c r="O22" s="123" t="s">
        <v>0</v>
      </c>
      <c r="P22" s="124"/>
      <c r="Q22" s="124"/>
      <c r="R22" s="124"/>
      <c r="S22" s="63">
        <v>2013</v>
      </c>
      <c r="T22" s="62" t="s">
        <v>162</v>
      </c>
      <c r="Z22" s="59"/>
    </row>
    <row r="23" spans="1:26" x14ac:dyDescent="0.3">
      <c r="H23" s="123" t="s">
        <v>160</v>
      </c>
      <c r="I23" s="124"/>
      <c r="J23" s="124"/>
      <c r="K23" s="124"/>
      <c r="L23" s="63">
        <v>734</v>
      </c>
      <c r="M23" s="62" t="s">
        <v>162</v>
      </c>
      <c r="O23" s="123" t="s">
        <v>160</v>
      </c>
      <c r="P23" s="124"/>
      <c r="Q23" s="124"/>
      <c r="R23" s="124"/>
      <c r="S23" s="63">
        <v>733</v>
      </c>
      <c r="T23" s="62" t="s">
        <v>162</v>
      </c>
      <c r="Z23" s="59"/>
    </row>
    <row r="24" spans="1:26" x14ac:dyDescent="0.3">
      <c r="A24" s="92" t="s">
        <v>180</v>
      </c>
      <c r="B24" s="78"/>
      <c r="C24" s="78"/>
      <c r="D24" s="78"/>
      <c r="E24" s="100"/>
      <c r="H24" s="116" t="s">
        <v>161</v>
      </c>
      <c r="I24" s="117"/>
      <c r="J24" s="117"/>
      <c r="K24" s="117"/>
      <c r="L24" s="65">
        <v>0</v>
      </c>
      <c r="M24" s="66" t="s">
        <v>162</v>
      </c>
      <c r="O24" s="116" t="s">
        <v>161</v>
      </c>
      <c r="P24" s="117"/>
      <c r="Q24" s="117"/>
      <c r="R24" s="117"/>
      <c r="S24" s="65">
        <v>0</v>
      </c>
      <c r="T24" s="66" t="s">
        <v>162</v>
      </c>
      <c r="Z24" s="59"/>
    </row>
    <row r="25" spans="1:26" x14ac:dyDescent="0.3">
      <c r="A25" s="123" t="s">
        <v>149</v>
      </c>
      <c r="B25" s="124"/>
      <c r="C25" s="124"/>
      <c r="D25" s="1">
        <f>L20</f>
        <v>180</v>
      </c>
      <c r="E25" s="3" t="s">
        <v>16</v>
      </c>
      <c r="H25" s="64"/>
      <c r="I25" s="64"/>
      <c r="J25" s="64"/>
      <c r="K25" s="64"/>
      <c r="L25" s="64"/>
      <c r="M25" s="64"/>
      <c r="O25" s="64"/>
      <c r="P25" s="64"/>
      <c r="Q25" s="64"/>
      <c r="R25" s="64"/>
      <c r="S25" s="64"/>
      <c r="T25" s="64"/>
      <c r="Z25" s="59"/>
    </row>
    <row r="26" spans="1:26" x14ac:dyDescent="0.3">
      <c r="A26" s="111" t="s">
        <v>158</v>
      </c>
      <c r="B26" s="111"/>
      <c r="C26" s="111"/>
      <c r="D26">
        <f>L21</f>
        <v>2.5</v>
      </c>
      <c r="E26" t="s">
        <v>16</v>
      </c>
      <c r="H26" s="125" t="s">
        <v>163</v>
      </c>
      <c r="I26" s="126"/>
      <c r="J26" s="127" t="s">
        <v>164</v>
      </c>
      <c r="K26" s="127"/>
      <c r="L26" s="127" t="s">
        <v>126</v>
      </c>
      <c r="M26" s="128"/>
      <c r="O26" s="125" t="s">
        <v>163</v>
      </c>
      <c r="P26" s="126"/>
      <c r="Q26" s="127" t="s">
        <v>164</v>
      </c>
      <c r="R26" s="127"/>
      <c r="S26" s="127" t="s">
        <v>126</v>
      </c>
      <c r="T26" s="128"/>
      <c r="Z26" s="59"/>
    </row>
    <row r="27" spans="1:26" x14ac:dyDescent="0.3">
      <c r="A27" s="111" t="s">
        <v>234</v>
      </c>
      <c r="B27" s="111"/>
      <c r="C27" s="111"/>
      <c r="D27" s="111"/>
      <c r="E27" s="111"/>
      <c r="H27" s="123" t="s">
        <v>165</v>
      </c>
      <c r="I27" s="124"/>
      <c r="J27" s="121">
        <v>17</v>
      </c>
      <c r="K27" s="121"/>
      <c r="L27" s="121">
        <v>127</v>
      </c>
      <c r="M27" s="122"/>
      <c r="O27" s="123" t="s">
        <v>165</v>
      </c>
      <c r="P27" s="124"/>
      <c r="Q27" s="121">
        <v>14</v>
      </c>
      <c r="R27" s="121"/>
      <c r="S27" s="121">
        <v>106</v>
      </c>
      <c r="T27" s="122"/>
      <c r="Z27" s="59"/>
    </row>
    <row r="28" spans="1:26" x14ac:dyDescent="0.3">
      <c r="A28" s="123" t="s">
        <v>0</v>
      </c>
      <c r="B28" s="124"/>
      <c r="C28" s="124"/>
      <c r="D28" s="64">
        <f>L22</f>
        <v>2016</v>
      </c>
      <c r="E28" s="3" t="s">
        <v>162</v>
      </c>
      <c r="H28" s="120" t="s">
        <v>172</v>
      </c>
      <c r="I28" s="121"/>
      <c r="J28" s="121">
        <v>-0.3</v>
      </c>
      <c r="K28" s="121"/>
      <c r="L28" s="121">
        <v>0.3</v>
      </c>
      <c r="M28" s="122"/>
      <c r="O28" s="120" t="s">
        <v>172</v>
      </c>
      <c r="P28" s="121"/>
      <c r="Q28" s="121">
        <v>0.3</v>
      </c>
      <c r="R28" s="121"/>
      <c r="S28" s="121">
        <v>-0.3</v>
      </c>
      <c r="T28" s="122"/>
      <c r="Z28" s="59"/>
    </row>
    <row r="29" spans="1:26" x14ac:dyDescent="0.3">
      <c r="A29" s="123" t="s">
        <v>160</v>
      </c>
      <c r="B29" s="124"/>
      <c r="C29" s="124"/>
      <c r="D29" s="64">
        <f>L23</f>
        <v>734</v>
      </c>
      <c r="E29" s="3" t="s">
        <v>162</v>
      </c>
      <c r="H29" s="120" t="s">
        <v>171</v>
      </c>
      <c r="I29" s="121"/>
      <c r="J29" s="121">
        <v>49</v>
      </c>
      <c r="K29" s="121"/>
      <c r="L29" s="121">
        <v>28.5</v>
      </c>
      <c r="M29" s="122"/>
      <c r="O29" s="120" t="s">
        <v>171</v>
      </c>
      <c r="P29" s="121"/>
      <c r="Q29" s="121">
        <v>49</v>
      </c>
      <c r="R29" s="121"/>
      <c r="S29" s="121">
        <v>28.5</v>
      </c>
      <c r="T29" s="122"/>
      <c r="Z29" s="59"/>
    </row>
    <row r="30" spans="1:26" x14ac:dyDescent="0.3">
      <c r="A30" s="123" t="s">
        <v>161</v>
      </c>
      <c r="B30" s="124"/>
      <c r="C30" s="124"/>
      <c r="D30" s="64">
        <f>L24</f>
        <v>0</v>
      </c>
      <c r="E30" s="3" t="s">
        <v>162</v>
      </c>
      <c r="H30" s="87" t="s">
        <v>174</v>
      </c>
      <c r="I30" s="83"/>
      <c r="J30" s="83" t="s">
        <v>175</v>
      </c>
      <c r="K30" s="83"/>
      <c r="L30" s="83" t="s">
        <v>176</v>
      </c>
      <c r="M30" s="95"/>
      <c r="O30" s="87" t="s">
        <v>174</v>
      </c>
      <c r="P30" s="83"/>
      <c r="Q30" s="83" t="s">
        <v>175</v>
      </c>
      <c r="R30" s="83"/>
      <c r="S30" s="83" t="s">
        <v>176</v>
      </c>
      <c r="T30" s="95"/>
      <c r="Z30" s="59"/>
    </row>
    <row r="31" spans="1:26" x14ac:dyDescent="0.3">
      <c r="A31" s="111" t="s">
        <v>222</v>
      </c>
      <c r="B31" s="111"/>
      <c r="C31" s="111"/>
      <c r="D31" s="111"/>
      <c r="E31" s="111"/>
      <c r="H31" s="1"/>
      <c r="I31" s="1"/>
      <c r="J31" s="83"/>
      <c r="K31" s="83"/>
      <c r="L31" s="1"/>
      <c r="M31" s="1"/>
      <c r="O31" s="1"/>
      <c r="P31" s="1"/>
      <c r="Q31" s="1"/>
      <c r="R31" s="1"/>
      <c r="S31" s="1"/>
      <c r="T31" s="1"/>
      <c r="Z31" s="59"/>
    </row>
    <row r="32" spans="1:26" x14ac:dyDescent="0.3">
      <c r="A32" s="111" t="s">
        <v>225</v>
      </c>
      <c r="B32" s="111"/>
      <c r="C32" s="111"/>
      <c r="D32">
        <f>J33</f>
        <v>42.5</v>
      </c>
      <c r="E32" s="25" t="s">
        <v>16</v>
      </c>
      <c r="H32" s="120" t="s">
        <v>167</v>
      </c>
      <c r="I32" s="121"/>
      <c r="J32" s="121"/>
      <c r="K32" s="121"/>
      <c r="L32" s="121"/>
      <c r="M32" s="122"/>
      <c r="O32" s="120" t="s">
        <v>167</v>
      </c>
      <c r="P32" s="121"/>
      <c r="Q32" s="121"/>
      <c r="R32" s="121"/>
      <c r="S32" s="121"/>
      <c r="T32" s="122"/>
      <c r="Z32" s="59"/>
    </row>
    <row r="33" spans="1:26" x14ac:dyDescent="0.3">
      <c r="A33" s="83" t="s">
        <v>223</v>
      </c>
      <c r="B33" s="83"/>
      <c r="C33" s="83"/>
      <c r="D33" s="1">
        <f>J35</f>
        <v>37.75</v>
      </c>
      <c r="E33" s="1" t="s">
        <v>16</v>
      </c>
      <c r="H33" s="123" t="s">
        <v>166</v>
      </c>
      <c r="I33" s="124"/>
      <c r="J33" s="121">
        <v>42.5</v>
      </c>
      <c r="K33" s="121"/>
      <c r="L33" s="121">
        <v>317.5</v>
      </c>
      <c r="M33" s="122"/>
      <c r="O33" s="123" t="s">
        <v>166</v>
      </c>
      <c r="P33" s="124"/>
      <c r="Q33" s="121">
        <v>42</v>
      </c>
      <c r="R33" s="121"/>
      <c r="S33" s="121">
        <v>318</v>
      </c>
      <c r="T33" s="122"/>
      <c r="Z33" s="59"/>
    </row>
    <row r="34" spans="1:26" x14ac:dyDescent="0.3">
      <c r="A34" s="83" t="s">
        <v>224</v>
      </c>
      <c r="B34" s="83"/>
      <c r="C34" s="83"/>
      <c r="D34" s="1">
        <f>J34</f>
        <v>49</v>
      </c>
      <c r="E34" s="1" t="s">
        <v>16</v>
      </c>
      <c r="H34" s="123" t="s">
        <v>169</v>
      </c>
      <c r="I34" s="124"/>
      <c r="J34" s="121">
        <v>49</v>
      </c>
      <c r="K34" s="121"/>
      <c r="L34" s="121">
        <v>321</v>
      </c>
      <c r="M34" s="122"/>
      <c r="O34" s="123" t="s">
        <v>169</v>
      </c>
      <c r="P34" s="124"/>
      <c r="Q34" s="121">
        <v>49.8</v>
      </c>
      <c r="R34" s="121"/>
      <c r="S34" s="121">
        <v>322</v>
      </c>
      <c r="T34" s="122"/>
      <c r="Z34" s="59"/>
    </row>
    <row r="35" spans="1:26" x14ac:dyDescent="0.3">
      <c r="A35" s="83" t="s">
        <v>170</v>
      </c>
      <c r="B35" s="83"/>
      <c r="C35" s="83"/>
      <c r="D35" s="1">
        <f>J36</f>
        <v>62</v>
      </c>
      <c r="E35" s="1" t="s">
        <v>16</v>
      </c>
      <c r="H35" s="123" t="s">
        <v>168</v>
      </c>
      <c r="I35" s="124"/>
      <c r="J35" s="121">
        <v>37.75</v>
      </c>
      <c r="K35" s="121"/>
      <c r="L35" s="121">
        <v>309.75</v>
      </c>
      <c r="M35" s="122"/>
      <c r="O35" s="123" t="s">
        <v>168</v>
      </c>
      <c r="P35" s="124"/>
      <c r="Q35" s="121">
        <v>36.6</v>
      </c>
      <c r="R35" s="121"/>
      <c r="S35" s="121">
        <v>308.7</v>
      </c>
      <c r="T35" s="122"/>
      <c r="Z35" s="59"/>
    </row>
    <row r="36" spans="1:26" x14ac:dyDescent="0.3">
      <c r="A36" s="111" t="s">
        <v>226</v>
      </c>
      <c r="B36" s="111"/>
      <c r="C36" s="111"/>
      <c r="D36" s="111"/>
      <c r="E36" s="111"/>
      <c r="H36" s="116" t="s">
        <v>170</v>
      </c>
      <c r="I36" s="117"/>
      <c r="J36" s="118">
        <v>62</v>
      </c>
      <c r="K36" s="118"/>
      <c r="L36" s="118">
        <v>57</v>
      </c>
      <c r="M36" s="119"/>
      <c r="O36" s="116" t="s">
        <v>170</v>
      </c>
      <c r="P36" s="117"/>
      <c r="Q36" s="118">
        <v>79</v>
      </c>
      <c r="R36" s="118"/>
      <c r="S36" s="118">
        <v>72</v>
      </c>
      <c r="T36" s="119"/>
      <c r="Z36" s="59"/>
    </row>
    <row r="37" spans="1:26" x14ac:dyDescent="0.3">
      <c r="A37" s="111" t="s">
        <v>225</v>
      </c>
      <c r="B37" s="111"/>
      <c r="C37" s="111"/>
      <c r="D37">
        <f>L33</f>
        <v>317.5</v>
      </c>
      <c r="E37" s="25" t="s">
        <v>16</v>
      </c>
      <c r="H37" s="111" t="s">
        <v>173</v>
      </c>
      <c r="I37" s="111"/>
      <c r="J37" s="111" t="b">
        <f ca="1">J35&gt;$E$15</f>
        <v>0</v>
      </c>
      <c r="K37" s="111"/>
      <c r="L37" s="48"/>
      <c r="M37" s="48"/>
      <c r="Q37" s="111" t="b">
        <f ca="1">Q35&gt;$E$15</f>
        <v>0</v>
      </c>
      <c r="R37" s="111"/>
      <c r="S37" s="48"/>
      <c r="T37" s="48"/>
      <c r="Z37" s="59"/>
    </row>
    <row r="38" spans="1:26" x14ac:dyDescent="0.3">
      <c r="A38" s="83" t="s">
        <v>223</v>
      </c>
      <c r="B38" s="83"/>
      <c r="C38" s="83"/>
      <c r="D38" s="1">
        <f>L35</f>
        <v>309.75</v>
      </c>
      <c r="E38" s="1" t="s">
        <v>16</v>
      </c>
      <c r="Z38" s="59"/>
    </row>
    <row r="39" spans="1:26" x14ac:dyDescent="0.3">
      <c r="A39" s="83" t="s">
        <v>224</v>
      </c>
      <c r="B39" s="83"/>
      <c r="C39" s="83"/>
      <c r="D39" s="1">
        <f>L34</f>
        <v>321</v>
      </c>
      <c r="E39" s="1" t="s">
        <v>16</v>
      </c>
      <c r="Z39" s="59"/>
    </row>
    <row r="40" spans="1:26" x14ac:dyDescent="0.3">
      <c r="A40" s="83" t="s">
        <v>170</v>
      </c>
      <c r="B40" s="83"/>
      <c r="C40" s="83"/>
      <c r="D40" s="1">
        <f>L36</f>
        <v>57</v>
      </c>
      <c r="E40" s="1" t="s">
        <v>16</v>
      </c>
      <c r="Z40" s="59"/>
    </row>
    <row r="41" spans="1:26" x14ac:dyDescent="0.3">
      <c r="Z41" s="59"/>
    </row>
    <row r="42" spans="1:26" x14ac:dyDescent="0.3">
      <c r="Z42" s="59"/>
    </row>
    <row r="43" spans="1:26" x14ac:dyDescent="0.3">
      <c r="Z43" s="59"/>
    </row>
    <row r="44" spans="1:26" x14ac:dyDescent="0.3">
      <c r="Z44" s="59"/>
    </row>
    <row r="45" spans="1:26" x14ac:dyDescent="0.3">
      <c r="Z45" s="59"/>
    </row>
    <row r="46" spans="1:26" x14ac:dyDescent="0.3">
      <c r="Z46" s="59"/>
    </row>
    <row r="47" spans="1:26" x14ac:dyDescent="0.3">
      <c r="Z47" s="59"/>
    </row>
    <row r="48" spans="1:26" x14ac:dyDescent="0.3">
      <c r="Z48" s="59"/>
    </row>
    <row r="49" spans="26:26" x14ac:dyDescent="0.3">
      <c r="Z49" s="59"/>
    </row>
    <row r="50" spans="26:26" x14ac:dyDescent="0.3">
      <c r="Z50" s="59"/>
    </row>
    <row r="51" spans="26:26" x14ac:dyDescent="0.3">
      <c r="Z51" s="59"/>
    </row>
    <row r="52" spans="26:26" x14ac:dyDescent="0.3">
      <c r="Z52" s="59"/>
    </row>
    <row r="53" spans="26:26" x14ac:dyDescent="0.3">
      <c r="Z53" s="59"/>
    </row>
    <row r="54" spans="26:26" x14ac:dyDescent="0.3">
      <c r="Z54" s="59"/>
    </row>
    <row r="55" spans="26:26" x14ac:dyDescent="0.3">
      <c r="Z55" s="59"/>
    </row>
    <row r="56" spans="26:26" x14ac:dyDescent="0.3">
      <c r="Z56" s="59"/>
    </row>
    <row r="57" spans="26:26" x14ac:dyDescent="0.3">
      <c r="Z57" s="59"/>
    </row>
  </sheetData>
  <mergeCells count="111">
    <mergeCell ref="A40:C40"/>
    <mergeCell ref="A27:E27"/>
    <mergeCell ref="A26:C26"/>
    <mergeCell ref="A24:E24"/>
    <mergeCell ref="A25:C25"/>
    <mergeCell ref="J31:K31"/>
    <mergeCell ref="A28:C28"/>
    <mergeCell ref="A29:C29"/>
    <mergeCell ref="A30:C30"/>
    <mergeCell ref="A35:C35"/>
    <mergeCell ref="A34:C34"/>
    <mergeCell ref="A33:C33"/>
    <mergeCell ref="J27:K27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H17:K17"/>
    <mergeCell ref="H18:K18"/>
    <mergeCell ref="A15:D15"/>
    <mergeCell ref="A16:D16"/>
    <mergeCell ref="H19:K19"/>
    <mergeCell ref="H20:K20"/>
    <mergeCell ref="H21:K21"/>
    <mergeCell ref="H22:K22"/>
    <mergeCell ref="O22:R22"/>
    <mergeCell ref="O17:R17"/>
    <mergeCell ref="O18:R18"/>
    <mergeCell ref="O19:R19"/>
    <mergeCell ref="O20:R20"/>
    <mergeCell ref="O21:R21"/>
    <mergeCell ref="O27:P27"/>
    <mergeCell ref="Q27:R27"/>
    <mergeCell ref="H23:K23"/>
    <mergeCell ref="H32:M32"/>
    <mergeCell ref="J29:K29"/>
    <mergeCell ref="L29:M29"/>
    <mergeCell ref="H29:I29"/>
    <mergeCell ref="H28:I28"/>
    <mergeCell ref="J28:K28"/>
    <mergeCell ref="L28:M28"/>
    <mergeCell ref="H26:I26"/>
    <mergeCell ref="J26:K26"/>
    <mergeCell ref="L26:M26"/>
    <mergeCell ref="H27:I27"/>
    <mergeCell ref="S27:T27"/>
    <mergeCell ref="H30:I30"/>
    <mergeCell ref="J30:K30"/>
    <mergeCell ref="L30:M30"/>
    <mergeCell ref="O23:R23"/>
    <mergeCell ref="O24:R24"/>
    <mergeCell ref="O26:P26"/>
    <mergeCell ref="Q26:R26"/>
    <mergeCell ref="S26:T26"/>
    <mergeCell ref="O28:P28"/>
    <mergeCell ref="Q28:R28"/>
    <mergeCell ref="S28:T28"/>
    <mergeCell ref="O29:P29"/>
    <mergeCell ref="Q29:R29"/>
    <mergeCell ref="S29:T29"/>
    <mergeCell ref="O30:P30"/>
    <mergeCell ref="Q30:R30"/>
    <mergeCell ref="S30:T30"/>
    <mergeCell ref="L27:M27"/>
    <mergeCell ref="H24:K24"/>
    <mergeCell ref="A38:C38"/>
    <mergeCell ref="A39:C39"/>
    <mergeCell ref="O32:T32"/>
    <mergeCell ref="O33:P33"/>
    <mergeCell ref="Q33:R33"/>
    <mergeCell ref="S33:T33"/>
    <mergeCell ref="O34:P34"/>
    <mergeCell ref="Q34:R34"/>
    <mergeCell ref="S34:T34"/>
    <mergeCell ref="O35:P35"/>
    <mergeCell ref="Q35:R35"/>
    <mergeCell ref="S35:T35"/>
    <mergeCell ref="H35:I35"/>
    <mergeCell ref="J35:K35"/>
    <mergeCell ref="L35:M35"/>
    <mergeCell ref="H36:I36"/>
    <mergeCell ref="J36:K36"/>
    <mergeCell ref="L36:M36"/>
    <mergeCell ref="H33:I33"/>
    <mergeCell ref="J33:K33"/>
    <mergeCell ref="L33:M33"/>
    <mergeCell ref="H34:I34"/>
    <mergeCell ref="J34:K34"/>
    <mergeCell ref="L34:M34"/>
    <mergeCell ref="H37:I37"/>
    <mergeCell ref="O36:P36"/>
    <mergeCell ref="Q36:R36"/>
    <mergeCell ref="S36:T36"/>
    <mergeCell ref="J37:K37"/>
    <mergeCell ref="Q37:R37"/>
    <mergeCell ref="A31:E31"/>
    <mergeCell ref="A32:C32"/>
    <mergeCell ref="A36:E36"/>
    <mergeCell ref="A37:C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X29"/>
  <sheetViews>
    <sheetView topLeftCell="A10" workbookViewId="0">
      <selection activeCell="D13" sqref="D13"/>
    </sheetView>
  </sheetViews>
  <sheetFormatPr defaultRowHeight="14.4" x14ac:dyDescent="0.3"/>
  <cols>
    <col min="1" max="27" width="6.77734375" customWidth="1"/>
  </cols>
  <sheetData>
    <row r="2" spans="1:24" x14ac:dyDescent="0.3">
      <c r="A2" s="111" t="s">
        <v>179</v>
      </c>
      <c r="B2" s="111"/>
      <c r="C2" s="111"/>
      <c r="D2" s="111"/>
      <c r="E2" s="111"/>
      <c r="H2" s="111" t="s">
        <v>192</v>
      </c>
      <c r="I2" s="111"/>
      <c r="J2" s="111"/>
      <c r="K2" s="111"/>
      <c r="L2" s="111"/>
      <c r="O2" s="111" t="s">
        <v>191</v>
      </c>
      <c r="P2" s="111"/>
      <c r="Q2" s="111"/>
      <c r="R2" s="111"/>
      <c r="S2" s="111"/>
    </row>
    <row r="3" spans="1:24" x14ac:dyDescent="0.3">
      <c r="A3" s="111" t="s">
        <v>178</v>
      </c>
      <c r="B3" s="111"/>
      <c r="D3" s="67">
        <f ca="1">Электродвигатель!$P$53</f>
        <v>45.959055069271365</v>
      </c>
      <c r="E3" t="s">
        <v>100</v>
      </c>
      <c r="H3" s="83" t="s">
        <v>178</v>
      </c>
      <c r="I3" s="83"/>
      <c r="J3" s="83"/>
      <c r="K3" s="69">
        <f ca="1">D3</f>
        <v>45.959055069271365</v>
      </c>
      <c r="L3" t="s">
        <v>100</v>
      </c>
      <c r="O3" s="16" t="s">
        <v>178</v>
      </c>
      <c r="Q3" s="16"/>
      <c r="R3">
        <f ca="1">Электродвигатель!P55</f>
        <v>329.82890125747264</v>
      </c>
      <c r="S3" t="s">
        <v>100</v>
      </c>
    </row>
    <row r="4" spans="1:24" x14ac:dyDescent="0.3">
      <c r="A4" s="111" t="s">
        <v>70</v>
      </c>
      <c r="B4" s="111"/>
      <c r="D4" s="68">
        <f>Электродвигатель!$N$52</f>
        <v>1440</v>
      </c>
      <c r="E4" t="s">
        <v>105</v>
      </c>
      <c r="H4" s="83" t="s">
        <v>70</v>
      </c>
      <c r="I4" s="83"/>
      <c r="J4" s="83"/>
      <c r="K4" s="70">
        <f>D4</f>
        <v>1440</v>
      </c>
      <c r="L4" t="s">
        <v>105</v>
      </c>
      <c r="O4" s="16" t="s">
        <v>70</v>
      </c>
      <c r="P4" s="16"/>
      <c r="Q4" s="16"/>
      <c r="R4" s="67">
        <f>Электродвигатель!N55</f>
        <v>190.98593171027443</v>
      </c>
      <c r="S4" t="s">
        <v>105</v>
      </c>
    </row>
    <row r="5" spans="1:24" x14ac:dyDescent="0.3">
      <c r="H5" s="111" t="s">
        <v>182</v>
      </c>
      <c r="I5" s="111"/>
      <c r="J5" s="111"/>
      <c r="K5" s="111"/>
      <c r="L5" s="111"/>
      <c r="O5" s="111" t="s">
        <v>126</v>
      </c>
      <c r="P5" s="111"/>
      <c r="Q5" s="111"/>
      <c r="R5" s="111"/>
      <c r="S5" s="111"/>
    </row>
    <row r="6" spans="1:24" x14ac:dyDescent="0.3">
      <c r="A6" s="111" t="s">
        <v>120</v>
      </c>
      <c r="B6" s="111"/>
      <c r="C6" s="111"/>
      <c r="D6" s="72">
        <f>Электродвигатель!$F$61</f>
        <v>38</v>
      </c>
      <c r="E6" t="s">
        <v>16</v>
      </c>
      <c r="H6" s="111" t="s">
        <v>181</v>
      </c>
      <c r="I6" s="111"/>
      <c r="J6" s="111"/>
      <c r="K6">
        <f>Передача!D33</f>
        <v>37.75</v>
      </c>
      <c r="L6" t="s">
        <v>16</v>
      </c>
      <c r="O6" s="111" t="s">
        <v>181</v>
      </c>
      <c r="P6" s="111"/>
      <c r="Q6" s="111"/>
      <c r="R6">
        <f>Передача!D38</f>
        <v>309.75</v>
      </c>
      <c r="S6" t="s">
        <v>16</v>
      </c>
    </row>
    <row r="7" spans="1:24" x14ac:dyDescent="0.3">
      <c r="A7" s="129" t="s">
        <v>205</v>
      </c>
      <c r="B7" s="129"/>
      <c r="C7" s="129"/>
      <c r="D7" s="52">
        <v>0.8</v>
      </c>
      <c r="H7" s="111" t="s">
        <v>190</v>
      </c>
      <c r="I7" s="111"/>
      <c r="J7" s="111"/>
      <c r="K7">
        <f>Передача!D34</f>
        <v>49</v>
      </c>
      <c r="L7" t="s">
        <v>16</v>
      </c>
      <c r="O7" s="111" t="s">
        <v>190</v>
      </c>
      <c r="P7" s="111"/>
      <c r="Q7" s="111"/>
      <c r="R7">
        <f>Передача!D39</f>
        <v>321</v>
      </c>
      <c r="S7" t="s">
        <v>16</v>
      </c>
    </row>
    <row r="8" spans="1:24" x14ac:dyDescent="0.3">
      <c r="A8" s="111" t="s">
        <v>201</v>
      </c>
      <c r="B8" s="111"/>
      <c r="C8" s="111"/>
      <c r="D8" s="77">
        <v>1.2</v>
      </c>
      <c r="H8" s="111" t="s">
        <v>170</v>
      </c>
      <c r="I8" s="111"/>
      <c r="J8" s="111"/>
      <c r="K8">
        <f>Передача!D35</f>
        <v>62</v>
      </c>
      <c r="L8" t="s">
        <v>16</v>
      </c>
      <c r="O8" s="111" t="s">
        <v>170</v>
      </c>
      <c r="P8" s="111"/>
      <c r="Q8" s="111"/>
      <c r="R8">
        <f>Передача!D40</f>
        <v>57</v>
      </c>
      <c r="S8" t="s">
        <v>16</v>
      </c>
    </row>
    <row r="9" spans="1:24" x14ac:dyDescent="0.3">
      <c r="H9" s="111" t="s">
        <v>193</v>
      </c>
      <c r="I9" s="111"/>
      <c r="J9" s="111"/>
      <c r="K9" s="111"/>
      <c r="L9" s="111"/>
      <c r="O9" s="111" t="s">
        <v>193</v>
      </c>
      <c r="P9" s="111"/>
      <c r="Q9" s="111"/>
      <c r="R9" s="111"/>
      <c r="S9" s="111"/>
    </row>
    <row r="10" spans="1:24" x14ac:dyDescent="0.3">
      <c r="H10" s="111" t="s">
        <v>189</v>
      </c>
      <c r="I10" s="111"/>
      <c r="J10" s="111"/>
      <c r="K10">
        <v>7.5</v>
      </c>
      <c r="L10" s="71" t="s">
        <v>197</v>
      </c>
      <c r="O10" s="111" t="s">
        <v>189</v>
      </c>
      <c r="P10" s="111"/>
      <c r="R10">
        <v>5.4</v>
      </c>
      <c r="S10" s="71" t="s">
        <v>198</v>
      </c>
    </row>
    <row r="11" spans="1:24" x14ac:dyDescent="0.3">
      <c r="H11" s="111" t="s">
        <v>202</v>
      </c>
      <c r="I11" s="111"/>
      <c r="J11" s="111"/>
      <c r="K11">
        <f ca="1">K10*(K3)^(1/3)</f>
        <v>26.864883424091097</v>
      </c>
      <c r="L11" t="s">
        <v>16</v>
      </c>
      <c r="O11" s="111" t="s">
        <v>202</v>
      </c>
      <c r="P11" s="111"/>
      <c r="Q11" s="111"/>
      <c r="R11">
        <f ca="1">R10*(R3)^(1/3)</f>
        <v>37.309835064996221</v>
      </c>
      <c r="S11" t="s">
        <v>16</v>
      </c>
    </row>
    <row r="12" spans="1:24" x14ac:dyDescent="0.3">
      <c r="H12" s="111" t="s">
        <v>206</v>
      </c>
      <c r="I12" s="111"/>
      <c r="J12" s="111"/>
      <c r="K12">
        <f ca="1">MIN(MAX(K11,D6/D8),D6/D7)</f>
        <v>31.666666666666668</v>
      </c>
      <c r="O12" s="111" t="s">
        <v>194</v>
      </c>
      <c r="P12" s="111"/>
      <c r="Q12" s="111"/>
      <c r="R12" s="72">
        <f ca="1">_xlfn.MINIFS('Ra40'!$B:$B,'Ra40'!$B:$B,"&gt;="&amp;R11)</f>
        <v>38</v>
      </c>
      <c r="S12" t="s">
        <v>16</v>
      </c>
      <c r="T12" t="s">
        <v>204</v>
      </c>
    </row>
    <row r="13" spans="1:24" x14ac:dyDescent="0.3">
      <c r="H13" s="111" t="s">
        <v>194</v>
      </c>
      <c r="I13" s="111"/>
      <c r="J13" s="111"/>
      <c r="K13" s="72">
        <f ca="1">_xlfn.MINIFS('Ra40'!$B:$B,'Ra40'!$B:$B,"&gt;="&amp;K12)</f>
        <v>32</v>
      </c>
      <c r="L13" t="s">
        <v>16</v>
      </c>
      <c r="M13" t="s">
        <v>204</v>
      </c>
      <c r="O13" s="111" t="s">
        <v>203</v>
      </c>
      <c r="P13" s="111"/>
      <c r="Q13" s="111"/>
      <c r="R13">
        <f ca="1">_xlfn.MINIFS($28:$28,$26:$26,"&gt;="&amp;R12)</f>
        <v>3.5</v>
      </c>
      <c r="S13" t="s">
        <v>16</v>
      </c>
    </row>
    <row r="14" spans="1:24" x14ac:dyDescent="0.3">
      <c r="H14" s="111" t="s">
        <v>203</v>
      </c>
      <c r="I14" s="111"/>
      <c r="J14" s="111"/>
      <c r="K14">
        <f ca="1">_xlfn.MINIFS($28:$28,$26:$26,"&gt;="&amp;K13)</f>
        <v>3.5</v>
      </c>
      <c r="L14" t="s">
        <v>16</v>
      </c>
      <c r="O14" s="111" t="s">
        <v>199</v>
      </c>
      <c r="P14" s="111"/>
      <c r="Q14" s="111"/>
      <c r="R14">
        <f ca="1">R12+2*R13</f>
        <v>45</v>
      </c>
      <c r="S14" t="s">
        <v>16</v>
      </c>
      <c r="X14" s="48"/>
    </row>
    <row r="15" spans="1:24" x14ac:dyDescent="0.3">
      <c r="H15" s="111" t="s">
        <v>199</v>
      </c>
      <c r="I15" s="111"/>
      <c r="J15" s="111"/>
      <c r="K15">
        <f ca="1">K13+2*K14</f>
        <v>39</v>
      </c>
      <c r="L15" t="s">
        <v>16</v>
      </c>
      <c r="O15" s="111" t="s">
        <v>195</v>
      </c>
      <c r="P15" s="111"/>
      <c r="Q15" s="111"/>
      <c r="R15" s="72">
        <f ca="1">_xlfn.MINIFS('Ra40'!$B:$B,'Ra40'!$B:$B,"&gt;="&amp;R14)</f>
        <v>45</v>
      </c>
      <c r="S15" t="s">
        <v>16</v>
      </c>
      <c r="T15" t="s">
        <v>204</v>
      </c>
      <c r="X15" s="48"/>
    </row>
    <row r="16" spans="1:24" x14ac:dyDescent="0.3">
      <c r="H16" s="111" t="s">
        <v>195</v>
      </c>
      <c r="I16" s="111"/>
      <c r="J16" s="111"/>
      <c r="K16" s="72">
        <f ca="1">_xlfn.MINIFS('Ra40'!$B:$B,'Ra40'!$B:$B,"&gt;="&amp;K15)</f>
        <v>40</v>
      </c>
      <c r="L16" t="s">
        <v>16</v>
      </c>
      <c r="M16" t="s">
        <v>204</v>
      </c>
      <c r="O16" s="111" t="s">
        <v>203</v>
      </c>
      <c r="P16" s="111"/>
      <c r="Q16" s="111"/>
      <c r="R16">
        <f ca="1">_xlfn.MINIFS($29:$29,$26:$26,"&gt;="&amp;R12)</f>
        <v>2.2999999999999998</v>
      </c>
      <c r="X16" s="48"/>
    </row>
    <row r="17" spans="1:24" x14ac:dyDescent="0.3">
      <c r="H17" s="111" t="s">
        <v>203</v>
      </c>
      <c r="I17" s="111"/>
      <c r="J17" s="111"/>
      <c r="K17">
        <f ca="1">_xlfn.MINIFS($29:$29,$26:$26,"&gt;="&amp;K13)</f>
        <v>2</v>
      </c>
      <c r="O17" s="111" t="s">
        <v>200</v>
      </c>
      <c r="P17" s="111"/>
      <c r="Q17" s="111"/>
      <c r="R17">
        <f ca="1">R15+2*R16</f>
        <v>49.6</v>
      </c>
      <c r="S17" t="s">
        <v>16</v>
      </c>
      <c r="X17" s="48"/>
    </row>
    <row r="18" spans="1:24" x14ac:dyDescent="0.3">
      <c r="H18" s="111" t="s">
        <v>200</v>
      </c>
      <c r="I18" s="111"/>
      <c r="J18" s="111"/>
      <c r="K18">
        <f ca="1">K16+2*K17</f>
        <v>44</v>
      </c>
      <c r="L18" t="s">
        <v>16</v>
      </c>
      <c r="O18" s="111" t="s">
        <v>196</v>
      </c>
      <c r="P18" s="111"/>
      <c r="Q18" s="111"/>
      <c r="R18" s="72">
        <f ca="1">_xlfn.MINIFS('Ra40'!$B:$B,'Ra40'!$B:$B,"&gt;="&amp;R17)</f>
        <v>50</v>
      </c>
      <c r="S18" t="s">
        <v>16</v>
      </c>
      <c r="T18" t="s">
        <v>204</v>
      </c>
    </row>
    <row r="19" spans="1:24" x14ac:dyDescent="0.3">
      <c r="H19" s="111" t="s">
        <v>196</v>
      </c>
      <c r="I19" s="111"/>
      <c r="J19" s="111"/>
      <c r="K19" s="72">
        <f ca="1">_xlfn.MINIFS('Ra40'!$B:$B,'Ra40'!$B:$B,"&gt;="&amp;K18)</f>
        <v>45</v>
      </c>
      <c r="L19" t="s">
        <v>16</v>
      </c>
      <c r="M19" t="s">
        <v>204</v>
      </c>
    </row>
    <row r="26" spans="1:24" x14ac:dyDescent="0.3">
      <c r="A26" s="111" t="s">
        <v>187</v>
      </c>
      <c r="B26" s="111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4" x14ac:dyDescent="0.3">
      <c r="A27" s="111" t="s">
        <v>188</v>
      </c>
      <c r="B27" s="111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4" x14ac:dyDescent="0.3">
      <c r="A28" s="111" t="s">
        <v>185</v>
      </c>
      <c r="B28" s="111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4" x14ac:dyDescent="0.3">
      <c r="A29" s="111" t="s">
        <v>186</v>
      </c>
      <c r="B29" s="111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3">
    <mergeCell ref="O12:Q12"/>
    <mergeCell ref="O13:Q13"/>
    <mergeCell ref="O14:Q14"/>
    <mergeCell ref="O15:Q15"/>
    <mergeCell ref="O5:S5"/>
    <mergeCell ref="O10:P10"/>
    <mergeCell ref="O9:S9"/>
    <mergeCell ref="O6:Q6"/>
    <mergeCell ref="O7:Q7"/>
    <mergeCell ref="O8:Q8"/>
    <mergeCell ref="A26:B26"/>
    <mergeCell ref="A28:B28"/>
    <mergeCell ref="A29:B29"/>
    <mergeCell ref="A27:B27"/>
    <mergeCell ref="H19:J19"/>
    <mergeCell ref="A2:E2"/>
    <mergeCell ref="H2:L2"/>
    <mergeCell ref="O2:S2"/>
    <mergeCell ref="A6:C6"/>
    <mergeCell ref="H5:L5"/>
    <mergeCell ref="A3:B3"/>
    <mergeCell ref="A4:B4"/>
    <mergeCell ref="A7:C7"/>
    <mergeCell ref="H7:J7"/>
    <mergeCell ref="H6:J6"/>
    <mergeCell ref="H4:J4"/>
    <mergeCell ref="H3:J3"/>
    <mergeCell ref="O16:Q16"/>
    <mergeCell ref="O17:Q17"/>
    <mergeCell ref="O18:Q18"/>
    <mergeCell ref="A8:C8"/>
    <mergeCell ref="H12:J12"/>
    <mergeCell ref="H14:J14"/>
    <mergeCell ref="H17:J17"/>
    <mergeCell ref="H16:J16"/>
    <mergeCell ref="H15:J15"/>
    <mergeCell ref="H11:J11"/>
    <mergeCell ref="H13:J13"/>
    <mergeCell ref="H10:J10"/>
    <mergeCell ref="H8:J8"/>
    <mergeCell ref="H9:L9"/>
    <mergeCell ref="H18:J18"/>
    <mergeCell ref="O11:Q1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F09D0-EAD8-49BE-BC1A-C3CACFF128CD}">
  <dimension ref="A2:A4"/>
  <sheetViews>
    <sheetView workbookViewId="0">
      <selection activeCell="F29" sqref="F29"/>
    </sheetView>
  </sheetViews>
  <sheetFormatPr defaultRowHeight="14.4" x14ac:dyDescent="0.3"/>
  <cols>
    <col min="1" max="17" width="6.77734375" customWidth="1"/>
  </cols>
  <sheetData>
    <row r="2" spans="1:1" x14ac:dyDescent="0.3">
      <c r="A2" t="s">
        <v>236</v>
      </c>
    </row>
    <row r="3" spans="1:1" x14ac:dyDescent="0.3">
      <c r="A3" t="s">
        <v>237</v>
      </c>
    </row>
    <row r="4" spans="1:1" x14ac:dyDescent="0.3">
      <c r="A4" t="s">
        <v>238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F8DC-2803-4E90-824A-7553AC4D2CA2}">
  <dimension ref="A1:E6"/>
  <sheetViews>
    <sheetView workbookViewId="0">
      <selection activeCell="H20" sqref="H20"/>
    </sheetView>
  </sheetViews>
  <sheetFormatPr defaultRowHeight="14.4" x14ac:dyDescent="0.3"/>
  <cols>
    <col min="1" max="23" width="6.77734375" customWidth="1"/>
  </cols>
  <sheetData>
    <row r="1" spans="1:5" x14ac:dyDescent="0.3">
      <c r="A1" s="1"/>
      <c r="B1" s="1"/>
      <c r="C1" s="1"/>
      <c r="D1" s="1"/>
      <c r="E1" s="1"/>
    </row>
    <row r="2" spans="1:5" x14ac:dyDescent="0.3">
      <c r="A2" s="83" t="s">
        <v>234</v>
      </c>
      <c r="B2" s="83"/>
      <c r="C2" s="83"/>
      <c r="D2" s="83"/>
      <c r="E2" s="83"/>
    </row>
    <row r="3" spans="1:5" x14ac:dyDescent="0.3">
      <c r="A3" s="124" t="s">
        <v>0</v>
      </c>
      <c r="B3" s="124"/>
      <c r="C3" s="124"/>
      <c r="D3" s="64">
        <f>Передача!$D$28</f>
        <v>2016</v>
      </c>
      <c r="E3" s="1" t="s">
        <v>162</v>
      </c>
    </row>
    <row r="4" spans="1:5" x14ac:dyDescent="0.3">
      <c r="A4" s="124" t="s">
        <v>160</v>
      </c>
      <c r="B4" s="124"/>
      <c r="C4" s="124"/>
      <c r="D4" s="64">
        <f>Передача!$D$29</f>
        <v>734</v>
      </c>
      <c r="E4" s="1" t="s">
        <v>162</v>
      </c>
    </row>
    <row r="5" spans="1:5" x14ac:dyDescent="0.3">
      <c r="A5" s="124" t="s">
        <v>161</v>
      </c>
      <c r="B5" s="124"/>
      <c r="C5" s="124"/>
      <c r="D5" s="64">
        <f>Передача!$D$30</f>
        <v>0</v>
      </c>
      <c r="E5" s="1" t="s">
        <v>162</v>
      </c>
    </row>
    <row r="6" spans="1:5" x14ac:dyDescent="0.3">
      <c r="A6" s="1"/>
      <c r="B6" s="1"/>
      <c r="C6" s="1"/>
      <c r="D6" s="1"/>
      <c r="E6" s="1"/>
    </row>
  </sheetData>
  <mergeCells count="4">
    <mergeCell ref="A2:E2"/>
    <mergeCell ref="A3:C3"/>
    <mergeCell ref="A4:C4"/>
    <mergeCell ref="A5: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2"/>
  <sheetViews>
    <sheetView workbookViewId="0">
      <selection activeCell="P23" sqref="P23"/>
    </sheetView>
  </sheetViews>
  <sheetFormatPr defaultRowHeight="14.4" x14ac:dyDescent="0.3"/>
  <cols>
    <col min="1" max="29" width="6.77734375" customWidth="1"/>
  </cols>
  <sheetData>
    <row r="1" spans="1:27" x14ac:dyDescent="0.3">
      <c r="A1" s="111" t="s">
        <v>141</v>
      </c>
      <c r="B1" s="111"/>
      <c r="C1" s="111"/>
      <c r="D1" s="111"/>
      <c r="E1" s="111"/>
      <c r="F1" s="111"/>
    </row>
    <row r="2" spans="1:27" x14ac:dyDescent="0.3">
      <c r="A2" s="83" t="s">
        <v>146</v>
      </c>
      <c r="B2" s="83"/>
      <c r="C2" s="83"/>
      <c r="D2" s="83"/>
      <c r="E2" s="1">
        <f>Передача!$E$9</f>
        <v>300</v>
      </c>
      <c r="F2" s="1" t="s">
        <v>22</v>
      </c>
      <c r="J2" t="s">
        <v>240</v>
      </c>
    </row>
    <row r="3" spans="1:27" x14ac:dyDescent="0.3">
      <c r="A3" s="83" t="s">
        <v>8</v>
      </c>
      <c r="B3" s="83"/>
      <c r="C3" s="83"/>
      <c r="D3" s="83"/>
      <c r="E3" s="16">
        <f>Передача!$E$10</f>
        <v>3</v>
      </c>
      <c r="F3" s="54" t="s">
        <v>137</v>
      </c>
      <c r="J3" s="83" t="s">
        <v>234</v>
      </c>
      <c r="K3" s="83"/>
      <c r="L3" s="83"/>
      <c r="M3" s="83"/>
      <c r="N3" s="83"/>
      <c r="T3" s="111" t="s">
        <v>163</v>
      </c>
      <c r="U3" s="111"/>
      <c r="V3" s="111"/>
      <c r="W3" s="111"/>
      <c r="X3" s="111" t="s">
        <v>193</v>
      </c>
      <c r="Y3" s="111"/>
      <c r="Z3" s="111" t="s">
        <v>182</v>
      </c>
      <c r="AA3" s="111"/>
    </row>
    <row r="4" spans="1:27" x14ac:dyDescent="0.3">
      <c r="A4" s="83" t="s">
        <v>217</v>
      </c>
      <c r="B4" s="83"/>
      <c r="C4" s="83"/>
      <c r="D4" s="83"/>
      <c r="E4" s="47" t="str">
        <f>Передача!$E$11</f>
        <v>?</v>
      </c>
      <c r="F4" s="1"/>
      <c r="J4" s="124" t="s">
        <v>0</v>
      </c>
      <c r="K4" s="124"/>
      <c r="L4" s="124"/>
      <c r="M4" s="64">
        <f>Передача!$D$28</f>
        <v>2016</v>
      </c>
      <c r="N4" s="1" t="s">
        <v>162</v>
      </c>
      <c r="T4" s="111" t="s">
        <v>264</v>
      </c>
      <c r="U4" s="111"/>
      <c r="V4" s="111"/>
      <c r="W4" s="111"/>
      <c r="X4" s="111">
        <v>0</v>
      </c>
      <c r="Y4" s="111"/>
      <c r="Z4" s="111">
        <f ca="1">M7</f>
        <v>50</v>
      </c>
      <c r="AA4" s="111"/>
    </row>
    <row r="5" spans="1:27" x14ac:dyDescent="0.3">
      <c r="A5" s="110" t="s">
        <v>219</v>
      </c>
      <c r="B5" s="110"/>
      <c r="C5" s="110"/>
      <c r="D5" s="110"/>
      <c r="E5" s="76" t="s">
        <v>218</v>
      </c>
      <c r="F5" s="1"/>
      <c r="J5" s="124" t="s">
        <v>160</v>
      </c>
      <c r="K5" s="124"/>
      <c r="L5" s="124"/>
      <c r="M5" s="64">
        <f>Передача!$D$29</f>
        <v>734</v>
      </c>
      <c r="N5" s="1" t="s">
        <v>162</v>
      </c>
      <c r="T5" s="111" t="s">
        <v>266</v>
      </c>
      <c r="U5" s="111"/>
      <c r="V5" s="111"/>
      <c r="W5" s="111"/>
      <c r="X5" s="111">
        <f ca="1">M7</f>
        <v>50</v>
      </c>
      <c r="Y5" s="111"/>
      <c r="Z5" s="111">
        <f ca="1">E18</f>
        <v>60</v>
      </c>
      <c r="AA5" s="111"/>
    </row>
    <row r="6" spans="1:27" x14ac:dyDescent="0.3">
      <c r="A6" s="111" t="s">
        <v>158</v>
      </c>
      <c r="B6" s="111"/>
      <c r="C6" s="111"/>
      <c r="D6" s="111"/>
      <c r="E6">
        <f>Передача!$D$26</f>
        <v>2.5</v>
      </c>
      <c r="F6" t="s">
        <v>16</v>
      </c>
      <c r="J6" s="124" t="s">
        <v>161</v>
      </c>
      <c r="K6" s="124"/>
      <c r="L6" s="124"/>
      <c r="M6" s="64">
        <f>Передача!$D$30</f>
        <v>0</v>
      </c>
      <c r="N6" s="1" t="s">
        <v>162</v>
      </c>
      <c r="T6" s="111" t="s">
        <v>250</v>
      </c>
      <c r="U6" s="111"/>
      <c r="V6" s="111"/>
      <c r="W6" s="111"/>
      <c r="X6" s="130">
        <v>0.3</v>
      </c>
      <c r="Y6" s="130"/>
      <c r="Z6" s="130">
        <v>0.3</v>
      </c>
      <c r="AA6" s="130"/>
    </row>
    <row r="7" spans="1:27" x14ac:dyDescent="0.3">
      <c r="A7" s="111" t="s">
        <v>221</v>
      </c>
      <c r="B7" s="111"/>
      <c r="C7" s="111"/>
      <c r="D7" s="111"/>
      <c r="E7">
        <f>Передача!$D$37</f>
        <v>317.5</v>
      </c>
      <c r="F7" s="1" t="s">
        <v>16</v>
      </c>
      <c r="J7" s="111" t="s">
        <v>251</v>
      </c>
      <c r="K7" s="111"/>
      <c r="L7" s="111"/>
      <c r="M7">
        <f ca="1">Вал!$R$18</f>
        <v>50</v>
      </c>
      <c r="N7" t="s">
        <v>16</v>
      </c>
      <c r="T7" s="111" t="s">
        <v>261</v>
      </c>
      <c r="U7" s="111"/>
      <c r="V7" s="111"/>
      <c r="W7" s="111"/>
      <c r="X7" s="130">
        <f>2.1*10^5</f>
        <v>210000</v>
      </c>
      <c r="Y7" s="130"/>
      <c r="Z7" s="130">
        <f>2.1*10^5</f>
        <v>210000</v>
      </c>
      <c r="AA7" s="130"/>
    </row>
    <row r="8" spans="1:27" x14ac:dyDescent="0.3">
      <c r="A8" s="83" t="s">
        <v>190</v>
      </c>
      <c r="B8" s="83"/>
      <c r="C8" s="83"/>
      <c r="D8" s="83"/>
      <c r="E8" s="1">
        <f>Передача!$D$39</f>
        <v>321</v>
      </c>
      <c r="F8" s="1" t="s">
        <v>16</v>
      </c>
      <c r="J8" s="111" t="s">
        <v>267</v>
      </c>
      <c r="K8" s="111"/>
      <c r="L8" s="111"/>
      <c r="M8" s="111"/>
      <c r="N8" s="111"/>
      <c r="T8" s="111" t="s">
        <v>260</v>
      </c>
      <c r="U8" s="111"/>
      <c r="V8" s="111"/>
      <c r="W8" s="111"/>
      <c r="X8" s="130">
        <v>330</v>
      </c>
      <c r="Y8" s="130"/>
      <c r="Z8" s="130">
        <v>330</v>
      </c>
      <c r="AA8" s="130"/>
    </row>
    <row r="9" spans="1:27" x14ac:dyDescent="0.3">
      <c r="A9" s="83" t="s">
        <v>181</v>
      </c>
      <c r="B9" s="83"/>
      <c r="C9" s="83"/>
      <c r="D9" s="83"/>
      <c r="E9" s="1">
        <f>Передача!$D$38</f>
        <v>309.75</v>
      </c>
      <c r="F9" t="s">
        <v>16</v>
      </c>
      <c r="J9" s="111" t="s">
        <v>178</v>
      </c>
      <c r="K9" s="111"/>
      <c r="L9" s="111"/>
      <c r="M9">
        <f>Передача!$E$5</f>
        <v>320</v>
      </c>
      <c r="N9" s="25" t="s">
        <v>100</v>
      </c>
      <c r="T9" s="111" t="s">
        <v>262</v>
      </c>
      <c r="U9" s="111"/>
      <c r="V9" s="111"/>
      <c r="W9" s="111"/>
      <c r="X9" s="111">
        <f ca="1">(X5*X5+X4*X4)/(X5*X5-X4*X4)-X6</f>
        <v>0.7</v>
      </c>
      <c r="Y9" s="111"/>
      <c r="Z9" s="111">
        <f ca="1">(Z5*Z5+Z4*Z4)/(Z5*Z5-Z4*Z4)+Z6</f>
        <v>5.8454545454545457</v>
      </c>
      <c r="AA9" s="111"/>
    </row>
    <row r="10" spans="1:27" x14ac:dyDescent="0.3">
      <c r="A10" s="111" t="s">
        <v>170</v>
      </c>
      <c r="B10" s="111"/>
      <c r="C10" s="111"/>
      <c r="D10" s="111"/>
      <c r="E10">
        <f>Передача!$D$40</f>
        <v>57</v>
      </c>
      <c r="F10" t="s">
        <v>16</v>
      </c>
      <c r="J10" s="111" t="s">
        <v>241</v>
      </c>
      <c r="K10" s="111"/>
      <c r="L10" s="111"/>
      <c r="M10" s="52">
        <v>3</v>
      </c>
      <c r="N10" s="25" t="s">
        <v>244</v>
      </c>
      <c r="T10" s="111" t="s">
        <v>263</v>
      </c>
      <c r="U10" s="111"/>
      <c r="V10" s="111"/>
      <c r="W10" s="111"/>
      <c r="X10" s="111">
        <f ca="1">0.5*X8*(1-(X4*X4/X5/X5))</f>
        <v>165</v>
      </c>
      <c r="Y10" s="111"/>
      <c r="Z10" s="111">
        <f ca="1">0.5*Z8*(1-(Z4*Z4/Z5/Z5))</f>
        <v>50.416666666666671</v>
      </c>
      <c r="AA10" s="111"/>
    </row>
    <row r="11" spans="1:27" x14ac:dyDescent="0.3">
      <c r="A11" s="111" t="s">
        <v>227</v>
      </c>
      <c r="B11" s="111"/>
      <c r="C11" s="111"/>
      <c r="D11" s="111"/>
      <c r="E11">
        <f>_xlfn.MINIFS($32:$32,$31:$31,"&gt;="&amp;E7)</f>
        <v>5</v>
      </c>
      <c r="F11" t="s">
        <v>16</v>
      </c>
      <c r="J11" s="111" t="s">
        <v>243</v>
      </c>
      <c r="K11" s="111"/>
      <c r="L11" s="111"/>
      <c r="M11" s="52">
        <v>0.08</v>
      </c>
      <c r="O11" t="s">
        <v>248</v>
      </c>
    </row>
    <row r="12" spans="1:27" x14ac:dyDescent="0.3">
      <c r="A12" s="111" t="s">
        <v>228</v>
      </c>
      <c r="B12" s="111"/>
      <c r="C12" s="111"/>
      <c r="D12" s="111"/>
      <c r="E12" t="s">
        <v>229</v>
      </c>
      <c r="F12" t="s">
        <v>16</v>
      </c>
      <c r="J12" s="111" t="s">
        <v>245</v>
      </c>
      <c r="K12" s="111"/>
      <c r="L12" s="111"/>
      <c r="M12" s="25">
        <f>E17</f>
        <v>57</v>
      </c>
      <c r="N12" t="s">
        <v>16</v>
      </c>
      <c r="O12" t="s">
        <v>247</v>
      </c>
    </row>
    <row r="13" spans="1:27" x14ac:dyDescent="0.3">
      <c r="A13" s="131" t="s">
        <v>230</v>
      </c>
      <c r="B13" s="111"/>
      <c r="C13" s="111"/>
      <c r="D13" s="111"/>
      <c r="E13" t="s">
        <v>232</v>
      </c>
      <c r="F13" t="s">
        <v>231</v>
      </c>
      <c r="J13" s="111" t="s">
        <v>242</v>
      </c>
      <c r="K13" s="111"/>
      <c r="L13" s="111"/>
      <c r="M13">
        <f ca="1">2000*M10*M9/(PI()*M7*M7*M12*M11)</f>
        <v>53.610086094112106</v>
      </c>
      <c r="N13" t="s">
        <v>246</v>
      </c>
    </row>
    <row r="14" spans="1:27" x14ac:dyDescent="0.3">
      <c r="A14" s="111" t="s">
        <v>235</v>
      </c>
      <c r="B14" s="111"/>
      <c r="C14" s="111"/>
      <c r="D14" s="111"/>
      <c r="E14">
        <f>2.2*E6+0.05*E10</f>
        <v>8.35</v>
      </c>
      <c r="F14" t="s">
        <v>16</v>
      </c>
      <c r="J14" s="111" t="s">
        <v>249</v>
      </c>
      <c r="K14" s="111"/>
      <c r="L14" s="111"/>
      <c r="M14">
        <f ca="1">1000*M13*M7*(X9/X7+Z9/Z7)</f>
        <v>83.548186120694183</v>
      </c>
      <c r="N14" t="s">
        <v>255</v>
      </c>
    </row>
    <row r="15" spans="1:27" x14ac:dyDescent="0.3">
      <c r="A15" s="111" t="s">
        <v>233</v>
      </c>
      <c r="B15" s="111"/>
      <c r="C15" s="111"/>
      <c r="D15" s="111"/>
      <c r="F15" t="s">
        <v>16</v>
      </c>
      <c r="J15" s="111" t="s">
        <v>256</v>
      </c>
      <c r="K15" s="111"/>
      <c r="L15" s="111"/>
      <c r="N15" t="s">
        <v>255</v>
      </c>
      <c r="O15" t="s">
        <v>101</v>
      </c>
    </row>
    <row r="16" spans="1:27" x14ac:dyDescent="0.3">
      <c r="A16" s="111" t="s">
        <v>254</v>
      </c>
      <c r="B16" s="111"/>
      <c r="C16" s="111"/>
      <c r="D16" s="111"/>
      <c r="E16" s="52">
        <v>1</v>
      </c>
      <c r="J16" s="111" t="s">
        <v>257</v>
      </c>
      <c r="K16" s="111"/>
      <c r="L16" s="111"/>
      <c r="N16" t="s">
        <v>255</v>
      </c>
      <c r="O16" t="s">
        <v>101</v>
      </c>
    </row>
    <row r="17" spans="1:16" x14ac:dyDescent="0.3">
      <c r="A17" s="111" t="s">
        <v>252</v>
      </c>
      <c r="B17" s="111"/>
      <c r="C17" s="111"/>
      <c r="D17" s="111"/>
      <c r="E17">
        <f>E10*E16</f>
        <v>57</v>
      </c>
      <c r="F17" t="s">
        <v>16</v>
      </c>
      <c r="J17" s="111" t="s">
        <v>258</v>
      </c>
      <c r="K17" s="111"/>
      <c r="L17" s="111"/>
      <c r="M17" s="52">
        <f ca="1">SUM(M14:M16)</f>
        <v>83.548186120694183</v>
      </c>
      <c r="N17" t="s">
        <v>255</v>
      </c>
      <c r="P17" t="s">
        <v>268</v>
      </c>
    </row>
    <row r="18" spans="1:16" x14ac:dyDescent="0.3">
      <c r="A18" s="111" t="s">
        <v>253</v>
      </c>
      <c r="B18" s="111"/>
      <c r="C18" s="111"/>
      <c r="D18" s="111"/>
      <c r="E18" s="52">
        <f ca="1">M7+10</f>
        <v>60</v>
      </c>
      <c r="F18" t="s">
        <v>16</v>
      </c>
      <c r="J18" s="111" t="s">
        <v>265</v>
      </c>
      <c r="K18" s="111"/>
      <c r="L18" s="111"/>
      <c r="M18">
        <f ca="1">MAX(X10:AA10)*M14/M13</f>
        <v>257.14285714285711</v>
      </c>
      <c r="N18" t="s">
        <v>255</v>
      </c>
    </row>
    <row r="19" spans="1:16" x14ac:dyDescent="0.3">
      <c r="J19" s="111" t="s">
        <v>259</v>
      </c>
      <c r="K19" s="111"/>
      <c r="L19" s="111"/>
      <c r="M19" s="52">
        <f ca="1">M18+M15</f>
        <v>257.14285714285711</v>
      </c>
      <c r="N19" t="s">
        <v>255</v>
      </c>
    </row>
    <row r="20" spans="1:16" x14ac:dyDescent="0.3">
      <c r="J20" s="111"/>
      <c r="K20" s="111"/>
      <c r="L20" s="111"/>
      <c r="M20">
        <v>90</v>
      </c>
      <c r="N20">
        <v>154</v>
      </c>
      <c r="O20" t="s">
        <v>255</v>
      </c>
    </row>
    <row r="21" spans="1:16" x14ac:dyDescent="0.3">
      <c r="J21" s="111" t="s">
        <v>270</v>
      </c>
      <c r="K21" s="111"/>
      <c r="L21" s="111"/>
      <c r="M21">
        <v>0.2</v>
      </c>
    </row>
    <row r="22" spans="1:16" x14ac:dyDescent="0.3">
      <c r="J22" s="111" t="s">
        <v>269</v>
      </c>
      <c r="K22" s="111"/>
      <c r="L22" s="111"/>
      <c r="M22">
        <f ca="1">PI()*M7*M12*(M20-M15)*M21/1000</f>
        <v>161.1637031291564</v>
      </c>
      <c r="N22" t="s">
        <v>4</v>
      </c>
    </row>
    <row r="30" spans="1:16" x14ac:dyDescent="0.3">
      <c r="A30" s="111" t="s">
        <v>187</v>
      </c>
      <c r="B30" s="111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6" x14ac:dyDescent="0.3">
      <c r="A31" s="111" t="s">
        <v>188</v>
      </c>
      <c r="B31" s="111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6" x14ac:dyDescent="0.3">
      <c r="A32" s="111" t="s">
        <v>220</v>
      </c>
      <c r="B32" s="111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</sheetData>
  <mergeCells count="65">
    <mergeCell ref="A6:D6"/>
    <mergeCell ref="A1:F1"/>
    <mergeCell ref="A2:D2"/>
    <mergeCell ref="A3:D3"/>
    <mergeCell ref="A4:D4"/>
    <mergeCell ref="A5:D5"/>
    <mergeCell ref="A30:B30"/>
    <mergeCell ref="A31:B31"/>
    <mergeCell ref="A32:B32"/>
    <mergeCell ref="A11:D11"/>
    <mergeCell ref="A12:D12"/>
    <mergeCell ref="A13:D13"/>
    <mergeCell ref="A15:D15"/>
    <mergeCell ref="A14:D14"/>
    <mergeCell ref="J3:N3"/>
    <mergeCell ref="J4:L4"/>
    <mergeCell ref="J5:L5"/>
    <mergeCell ref="J6:L6"/>
    <mergeCell ref="J9:L9"/>
    <mergeCell ref="J7:L7"/>
    <mergeCell ref="A17:D17"/>
    <mergeCell ref="A18:D18"/>
    <mergeCell ref="A16:D16"/>
    <mergeCell ref="J14:L14"/>
    <mergeCell ref="J10:L10"/>
    <mergeCell ref="J13:L13"/>
    <mergeCell ref="J11:L11"/>
    <mergeCell ref="J12:L12"/>
    <mergeCell ref="A9:D9"/>
    <mergeCell ref="A10:D10"/>
    <mergeCell ref="A8:D8"/>
    <mergeCell ref="A7:D7"/>
    <mergeCell ref="X3:Y3"/>
    <mergeCell ref="Z3:AA3"/>
    <mergeCell ref="T3:W3"/>
    <mergeCell ref="T4:W4"/>
    <mergeCell ref="T5:W5"/>
    <mergeCell ref="T6:W6"/>
    <mergeCell ref="T7:W7"/>
    <mergeCell ref="T8:W8"/>
    <mergeCell ref="T9:W9"/>
    <mergeCell ref="T10:W10"/>
    <mergeCell ref="X4:Y4"/>
    <mergeCell ref="X5:Y5"/>
    <mergeCell ref="X6:Y6"/>
    <mergeCell ref="X7:Y7"/>
    <mergeCell ref="X8:Y8"/>
    <mergeCell ref="Z7:AA7"/>
    <mergeCell ref="Z6:AA6"/>
    <mergeCell ref="Z5:AA5"/>
    <mergeCell ref="Z4:AA4"/>
    <mergeCell ref="Z8:AA8"/>
    <mergeCell ref="X10:Y10"/>
    <mergeCell ref="Z10:AA10"/>
    <mergeCell ref="J8:N8"/>
    <mergeCell ref="J22:L22"/>
    <mergeCell ref="J21:L21"/>
    <mergeCell ref="J20:L20"/>
    <mergeCell ref="Z9:AA9"/>
    <mergeCell ref="X9:Y9"/>
    <mergeCell ref="J18:L18"/>
    <mergeCell ref="J15:L15"/>
    <mergeCell ref="J16:L16"/>
    <mergeCell ref="J17:L17"/>
    <mergeCell ref="J19:L19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4C11-E2B8-4CC3-855A-FA5D156E5EA8}">
  <dimension ref="A1"/>
  <sheetViews>
    <sheetView tabSelected="1" workbookViewId="0">
      <selection activeCell="G17" sqref="G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2"/>
  <sheetViews>
    <sheetView workbookViewId="0">
      <selection activeCell="D29" sqref="D29"/>
    </sheetView>
  </sheetViews>
  <sheetFormatPr defaultRowHeight="14.4" x14ac:dyDescent="0.3"/>
  <cols>
    <col min="1" max="12" width="6.77734375" customWidth="1"/>
  </cols>
  <sheetData>
    <row r="2" spans="1:6" x14ac:dyDescent="0.3">
      <c r="A2" s="111" t="s">
        <v>149</v>
      </c>
      <c r="B2" s="111"/>
      <c r="C2" s="111"/>
      <c r="D2" s="111"/>
      <c r="E2">
        <f>Передача!$D$25</f>
        <v>180</v>
      </c>
      <c r="F2" t="s">
        <v>16</v>
      </c>
    </row>
    <row r="3" spans="1:6" x14ac:dyDescent="0.3">
      <c r="A3" s="111" t="s">
        <v>210</v>
      </c>
      <c r="B3" s="111"/>
      <c r="C3" s="111"/>
      <c r="D3" s="111"/>
      <c r="E3">
        <f>Передача!$D$34</f>
        <v>49</v>
      </c>
      <c r="F3" t="s">
        <v>16</v>
      </c>
    </row>
    <row r="4" spans="1:6" x14ac:dyDescent="0.3">
      <c r="A4" s="111" t="s">
        <v>183</v>
      </c>
      <c r="B4" s="111"/>
      <c r="C4" s="111"/>
      <c r="D4" s="111"/>
      <c r="E4">
        <f>Передача!$D$35</f>
        <v>62</v>
      </c>
      <c r="F4" t="s">
        <v>16</v>
      </c>
    </row>
    <row r="5" spans="1:6" x14ac:dyDescent="0.3">
      <c r="A5" s="111" t="s">
        <v>211</v>
      </c>
      <c r="B5" s="111"/>
      <c r="C5" s="111"/>
      <c r="D5" s="111"/>
      <c r="E5">
        <f>Передача!$D$39</f>
        <v>321</v>
      </c>
      <c r="F5" t="s">
        <v>16</v>
      </c>
    </row>
    <row r="6" spans="1:6" x14ac:dyDescent="0.3">
      <c r="A6" s="111" t="s">
        <v>184</v>
      </c>
      <c r="B6" s="111"/>
      <c r="C6" s="111"/>
      <c r="D6" s="111"/>
      <c r="E6">
        <f>Передача!$D$40</f>
        <v>57</v>
      </c>
      <c r="F6" t="s">
        <v>16</v>
      </c>
    </row>
    <row r="7" spans="1:6" x14ac:dyDescent="0.3">
      <c r="A7" s="111" t="s">
        <v>209</v>
      </c>
      <c r="B7" s="111"/>
      <c r="C7" s="111"/>
      <c r="D7" s="111"/>
      <c r="E7">
        <f>E2+E3/2+E5/2</f>
        <v>365</v>
      </c>
      <c r="F7" t="s">
        <v>16</v>
      </c>
    </row>
    <row r="8" spans="1:6" x14ac:dyDescent="0.3">
      <c r="A8" s="111" t="s">
        <v>208</v>
      </c>
      <c r="B8" s="111"/>
      <c r="C8" s="111"/>
      <c r="D8" s="111"/>
      <c r="E8">
        <f>E7^(1/3)+3</f>
        <v>10.146569498815023</v>
      </c>
      <c r="F8" t="s">
        <v>16</v>
      </c>
    </row>
    <row r="9" spans="1:6" x14ac:dyDescent="0.3">
      <c r="A9" s="111" t="s">
        <v>212</v>
      </c>
      <c r="B9" s="111"/>
      <c r="C9" s="111"/>
      <c r="D9" s="111"/>
      <c r="E9">
        <f>E8*3</f>
        <v>30.439708496445068</v>
      </c>
      <c r="F9" t="s">
        <v>16</v>
      </c>
    </row>
    <row r="10" spans="1:6" x14ac:dyDescent="0.3">
      <c r="A10" s="111" t="s">
        <v>213</v>
      </c>
      <c r="B10" s="111"/>
      <c r="C10" s="111"/>
      <c r="D10" s="111"/>
      <c r="E10" s="52">
        <v>4</v>
      </c>
      <c r="F10" t="s">
        <v>16</v>
      </c>
    </row>
    <row r="11" spans="1:6" x14ac:dyDescent="0.3">
      <c r="A11" s="111" t="s">
        <v>214</v>
      </c>
      <c r="B11" s="111"/>
      <c r="C11" s="111"/>
      <c r="D11" s="111"/>
      <c r="E11" s="52">
        <v>20</v>
      </c>
      <c r="F11" t="s">
        <v>16</v>
      </c>
    </row>
    <row r="12" spans="1:6" x14ac:dyDescent="0.3">
      <c r="A12" s="111" t="s">
        <v>216</v>
      </c>
      <c r="B12" s="111"/>
      <c r="C12" s="111"/>
      <c r="D12" s="111"/>
      <c r="E12" s="111"/>
      <c r="F12" s="111"/>
    </row>
    <row r="13" spans="1:6" x14ac:dyDescent="0.3">
      <c r="A13" s="111" t="s">
        <v>215</v>
      </c>
      <c r="B13" s="111"/>
      <c r="C13" s="111"/>
      <c r="D13" s="111"/>
      <c r="E13">
        <f>E7+2*E8+E10*2+E11*2</f>
        <v>433.29313899763002</v>
      </c>
      <c r="F13" t="s">
        <v>16</v>
      </c>
    </row>
    <row r="14" spans="1:6" x14ac:dyDescent="0.3">
      <c r="A14" s="111" t="s">
        <v>170</v>
      </c>
      <c r="B14" s="111"/>
      <c r="C14" s="111"/>
      <c r="D14" s="111"/>
      <c r="E14">
        <f>E4+2*E8+2*E10</f>
        <v>90.293138997630052</v>
      </c>
      <c r="F14" t="s">
        <v>16</v>
      </c>
    </row>
    <row r="15" spans="1:6" x14ac:dyDescent="0.3">
      <c r="A15" s="111" t="s">
        <v>19</v>
      </c>
      <c r="B15" s="111"/>
      <c r="C15" s="111"/>
      <c r="D15" s="111"/>
      <c r="E15">
        <f>E5+E8+E9+2*E10</f>
        <v>369.5862779952601</v>
      </c>
      <c r="F15" t="s">
        <v>16</v>
      </c>
    </row>
    <row r="20" spans="18:23" x14ac:dyDescent="0.3">
      <c r="R20" s="1"/>
      <c r="S20" s="36"/>
      <c r="T20" s="111" t="s">
        <v>129</v>
      </c>
      <c r="U20" s="111"/>
      <c r="V20" s="83" t="s">
        <v>125</v>
      </c>
      <c r="W20" s="83"/>
    </row>
    <row r="21" spans="18:23" x14ac:dyDescent="0.3">
      <c r="R21" s="86" t="s">
        <v>124</v>
      </c>
      <c r="S21" s="86"/>
      <c r="T21" s="83"/>
      <c r="U21" s="83"/>
      <c r="V21" s="83"/>
      <c r="W21" s="83"/>
    </row>
    <row r="22" spans="18:23" x14ac:dyDescent="0.3">
      <c r="R22" s="86" t="s">
        <v>126</v>
      </c>
      <c r="S22" s="86"/>
      <c r="T22" s="83" t="s">
        <v>127</v>
      </c>
      <c r="U22" s="83"/>
      <c r="V22" s="80" t="s">
        <v>128</v>
      </c>
      <c r="W22" s="80"/>
    </row>
  </sheetData>
  <mergeCells count="22">
    <mergeCell ref="V22:W22"/>
    <mergeCell ref="T22:U22"/>
    <mergeCell ref="R22:S22"/>
    <mergeCell ref="R21:S21"/>
    <mergeCell ref="T20:U20"/>
    <mergeCell ref="V20:W20"/>
    <mergeCell ref="T21:U21"/>
    <mergeCell ref="V21:W2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opLeftCell="A38" workbookViewId="0">
      <selection activeCell="E68" sqref="E68"/>
    </sheetView>
  </sheetViews>
  <sheetFormatPr defaultRowHeight="14.4" x14ac:dyDescent="0.3"/>
  <sheetData>
    <row r="1" spans="1:4" x14ac:dyDescent="0.3">
      <c r="A1" s="111">
        <v>1</v>
      </c>
      <c r="B1">
        <v>1</v>
      </c>
      <c r="D1" s="48"/>
    </row>
    <row r="2" spans="1:4" x14ac:dyDescent="0.3">
      <c r="A2" s="111"/>
      <c r="B2">
        <v>1.05</v>
      </c>
      <c r="D2" s="48"/>
    </row>
    <row r="3" spans="1:4" x14ac:dyDescent="0.3">
      <c r="A3" s="111">
        <v>1.1000000000000001</v>
      </c>
      <c r="B3">
        <v>1.1000000000000001</v>
      </c>
      <c r="D3" s="48"/>
    </row>
    <row r="4" spans="1:4" x14ac:dyDescent="0.3">
      <c r="A4" s="111"/>
      <c r="B4">
        <v>1.1499999999999999</v>
      </c>
      <c r="D4" s="48"/>
    </row>
    <row r="5" spans="1:4" x14ac:dyDescent="0.3">
      <c r="A5" s="111">
        <v>1.2</v>
      </c>
      <c r="B5">
        <v>1.2</v>
      </c>
      <c r="D5" s="48"/>
    </row>
    <row r="6" spans="1:4" x14ac:dyDescent="0.3">
      <c r="A6" s="111"/>
      <c r="B6">
        <v>1.3</v>
      </c>
      <c r="D6" s="48"/>
    </row>
    <row r="7" spans="1:4" x14ac:dyDescent="0.3">
      <c r="A7" s="111">
        <v>1.4</v>
      </c>
      <c r="B7">
        <v>1.4</v>
      </c>
      <c r="D7" s="48"/>
    </row>
    <row r="8" spans="1:4" x14ac:dyDescent="0.3">
      <c r="A8" s="111"/>
      <c r="B8">
        <v>1.5</v>
      </c>
      <c r="D8" s="48"/>
    </row>
    <row r="9" spans="1:4" x14ac:dyDescent="0.3">
      <c r="A9" s="111">
        <v>1.6</v>
      </c>
      <c r="B9">
        <v>1.6</v>
      </c>
      <c r="D9" s="48"/>
    </row>
    <row r="10" spans="1:4" x14ac:dyDescent="0.3">
      <c r="A10" s="111"/>
      <c r="B10">
        <v>1.7</v>
      </c>
      <c r="D10" s="48"/>
    </row>
    <row r="11" spans="1:4" x14ac:dyDescent="0.3">
      <c r="A11" s="111">
        <v>1.8</v>
      </c>
      <c r="B11">
        <v>1.8</v>
      </c>
      <c r="D11" s="48"/>
    </row>
    <row r="12" spans="1:4" x14ac:dyDescent="0.3">
      <c r="A12" s="111"/>
      <c r="B12">
        <v>1.9</v>
      </c>
      <c r="D12" s="48"/>
    </row>
    <row r="13" spans="1:4" x14ac:dyDescent="0.3">
      <c r="A13" s="111">
        <v>2</v>
      </c>
      <c r="B13">
        <v>2</v>
      </c>
      <c r="D13" s="48"/>
    </row>
    <row r="14" spans="1:4" x14ac:dyDescent="0.3">
      <c r="A14" s="111"/>
      <c r="B14">
        <v>2.1</v>
      </c>
      <c r="D14" s="48"/>
    </row>
    <row r="15" spans="1:4" x14ac:dyDescent="0.3">
      <c r="A15" s="111">
        <v>2.2000000000000002</v>
      </c>
      <c r="B15">
        <v>2.2000000000000002</v>
      </c>
      <c r="D15" s="48"/>
    </row>
    <row r="16" spans="1:4" x14ac:dyDescent="0.3">
      <c r="A16" s="111"/>
      <c r="B16">
        <v>2.4</v>
      </c>
      <c r="D16" s="48"/>
    </row>
    <row r="17" spans="1:4" x14ac:dyDescent="0.3">
      <c r="A17" s="111">
        <v>2.5</v>
      </c>
      <c r="B17">
        <v>2.5</v>
      </c>
      <c r="D17" s="48"/>
    </row>
    <row r="18" spans="1:4" x14ac:dyDescent="0.3">
      <c r="A18" s="111"/>
      <c r="B18">
        <v>2.6</v>
      </c>
      <c r="D18" s="48"/>
    </row>
    <row r="19" spans="1:4" x14ac:dyDescent="0.3">
      <c r="A19" s="111">
        <v>2.8</v>
      </c>
      <c r="B19">
        <v>2.8</v>
      </c>
      <c r="D19" s="48"/>
    </row>
    <row r="20" spans="1:4" x14ac:dyDescent="0.3">
      <c r="A20" s="111"/>
      <c r="B20">
        <v>3</v>
      </c>
      <c r="D20" s="48"/>
    </row>
    <row r="21" spans="1:4" x14ac:dyDescent="0.3">
      <c r="A21" s="111">
        <v>3.2</v>
      </c>
      <c r="B21">
        <v>3.2</v>
      </c>
      <c r="D21" s="48"/>
    </row>
    <row r="22" spans="1:4" x14ac:dyDescent="0.3">
      <c r="A22" s="111"/>
      <c r="B22">
        <v>3.4</v>
      </c>
      <c r="D22" s="48"/>
    </row>
    <row r="23" spans="1:4" x14ac:dyDescent="0.3">
      <c r="A23" s="111">
        <v>3.6</v>
      </c>
      <c r="B23">
        <v>3.6</v>
      </c>
      <c r="D23" s="48"/>
    </row>
    <row r="24" spans="1:4" x14ac:dyDescent="0.3">
      <c r="A24" s="111"/>
      <c r="B24">
        <v>3.8</v>
      </c>
      <c r="D24" s="48"/>
    </row>
    <row r="25" spans="1:4" x14ac:dyDescent="0.3">
      <c r="A25" s="111">
        <v>4</v>
      </c>
      <c r="B25">
        <v>4</v>
      </c>
      <c r="D25" s="48"/>
    </row>
    <row r="26" spans="1:4" x14ac:dyDescent="0.3">
      <c r="A26" s="111"/>
      <c r="B26">
        <v>4.2</v>
      </c>
      <c r="D26" s="48"/>
    </row>
    <row r="27" spans="1:4" x14ac:dyDescent="0.3">
      <c r="A27" s="111">
        <v>4.5</v>
      </c>
      <c r="B27">
        <v>4.5</v>
      </c>
      <c r="D27" s="48"/>
    </row>
    <row r="28" spans="1:4" x14ac:dyDescent="0.3">
      <c r="A28" s="111"/>
      <c r="B28">
        <v>4.8</v>
      </c>
      <c r="D28" s="48"/>
    </row>
    <row r="29" spans="1:4" x14ac:dyDescent="0.3">
      <c r="A29" s="111">
        <v>5</v>
      </c>
      <c r="B29">
        <v>5</v>
      </c>
      <c r="D29" s="48"/>
    </row>
    <row r="30" spans="1:4" x14ac:dyDescent="0.3">
      <c r="A30" s="111"/>
      <c r="B30">
        <v>5.3</v>
      </c>
      <c r="D30" s="48"/>
    </row>
    <row r="31" spans="1:4" x14ac:dyDescent="0.3">
      <c r="A31" s="111">
        <v>5.6</v>
      </c>
      <c r="B31">
        <v>5.6</v>
      </c>
      <c r="D31" s="48"/>
    </row>
    <row r="32" spans="1:4" x14ac:dyDescent="0.3">
      <c r="A32" s="111"/>
      <c r="B32">
        <v>6</v>
      </c>
      <c r="D32" s="48"/>
    </row>
    <row r="33" spans="1:5" x14ac:dyDescent="0.3">
      <c r="A33" s="111">
        <v>6.3</v>
      </c>
      <c r="B33">
        <v>6.3</v>
      </c>
      <c r="D33" s="48"/>
    </row>
    <row r="34" spans="1:5" x14ac:dyDescent="0.3">
      <c r="A34" s="111"/>
      <c r="B34">
        <v>6.7</v>
      </c>
      <c r="D34" s="48"/>
    </row>
    <row r="35" spans="1:5" x14ac:dyDescent="0.3">
      <c r="A35" s="111">
        <v>7.1</v>
      </c>
      <c r="B35">
        <v>7.1</v>
      </c>
      <c r="D35" s="48"/>
    </row>
    <row r="36" spans="1:5" x14ac:dyDescent="0.3">
      <c r="A36" s="111"/>
      <c r="B36">
        <v>7.5</v>
      </c>
      <c r="D36" s="48"/>
    </row>
    <row r="37" spans="1:5" x14ac:dyDescent="0.3">
      <c r="A37" s="111">
        <v>8</v>
      </c>
      <c r="B37">
        <v>8</v>
      </c>
      <c r="D37" s="48"/>
    </row>
    <row r="38" spans="1:5" x14ac:dyDescent="0.3">
      <c r="A38" s="111"/>
      <c r="B38">
        <v>8.5</v>
      </c>
      <c r="D38" s="48"/>
    </row>
    <row r="39" spans="1:5" x14ac:dyDescent="0.3">
      <c r="A39" s="111">
        <v>9</v>
      </c>
      <c r="B39">
        <v>9</v>
      </c>
      <c r="D39" s="48"/>
    </row>
    <row r="40" spans="1:5" x14ac:dyDescent="0.3">
      <c r="A40" s="111"/>
      <c r="B40" s="67">
        <v>9.5</v>
      </c>
      <c r="D40" s="48"/>
      <c r="E40" s="67"/>
    </row>
    <row r="41" spans="1:5" x14ac:dyDescent="0.3">
      <c r="A41" s="111">
        <v>10</v>
      </c>
      <c r="B41" s="48">
        <v>10</v>
      </c>
    </row>
    <row r="42" spans="1:5" x14ac:dyDescent="0.3">
      <c r="A42" s="111"/>
      <c r="B42" s="48">
        <v>10.5</v>
      </c>
    </row>
    <row r="43" spans="1:5" x14ac:dyDescent="0.3">
      <c r="A43" s="111">
        <v>11</v>
      </c>
      <c r="B43" s="48">
        <v>11</v>
      </c>
    </row>
    <row r="44" spans="1:5" x14ac:dyDescent="0.3">
      <c r="A44" s="111"/>
      <c r="B44" s="48">
        <v>11.5</v>
      </c>
    </row>
    <row r="45" spans="1:5" x14ac:dyDescent="0.3">
      <c r="A45" s="111">
        <v>12</v>
      </c>
      <c r="B45" s="48">
        <v>12</v>
      </c>
    </row>
    <row r="46" spans="1:5" x14ac:dyDescent="0.3">
      <c r="A46" s="111"/>
      <c r="B46" s="48">
        <v>13</v>
      </c>
    </row>
    <row r="47" spans="1:5" x14ac:dyDescent="0.3">
      <c r="A47" s="111">
        <v>14</v>
      </c>
      <c r="B47" s="48">
        <v>14</v>
      </c>
    </row>
    <row r="48" spans="1:5" x14ac:dyDescent="0.3">
      <c r="A48" s="111"/>
      <c r="B48" s="48">
        <v>15</v>
      </c>
    </row>
    <row r="49" spans="1:2" x14ac:dyDescent="0.3">
      <c r="A49" s="111">
        <v>16</v>
      </c>
      <c r="B49" s="48">
        <v>16</v>
      </c>
    </row>
    <row r="50" spans="1:2" x14ac:dyDescent="0.3">
      <c r="A50" s="111"/>
      <c r="B50" s="48">
        <v>17</v>
      </c>
    </row>
    <row r="51" spans="1:2" x14ac:dyDescent="0.3">
      <c r="A51" s="111">
        <v>18</v>
      </c>
      <c r="B51" s="48">
        <v>18</v>
      </c>
    </row>
    <row r="52" spans="1:2" x14ac:dyDescent="0.3">
      <c r="A52" s="111"/>
      <c r="B52" s="48">
        <v>19</v>
      </c>
    </row>
    <row r="53" spans="1:2" x14ac:dyDescent="0.3">
      <c r="A53" s="111">
        <v>20</v>
      </c>
      <c r="B53" s="48">
        <v>20</v>
      </c>
    </row>
    <row r="54" spans="1:2" x14ac:dyDescent="0.3">
      <c r="A54" s="111"/>
      <c r="B54" s="48">
        <v>21</v>
      </c>
    </row>
    <row r="55" spans="1:2" x14ac:dyDescent="0.3">
      <c r="A55" s="111">
        <v>22</v>
      </c>
      <c r="B55" s="48">
        <v>22</v>
      </c>
    </row>
    <row r="56" spans="1:2" x14ac:dyDescent="0.3">
      <c r="A56" s="111"/>
      <c r="B56" s="48">
        <v>24</v>
      </c>
    </row>
    <row r="57" spans="1:2" x14ac:dyDescent="0.3">
      <c r="A57" s="111">
        <v>25</v>
      </c>
      <c r="B57" s="48">
        <v>25</v>
      </c>
    </row>
    <row r="58" spans="1:2" x14ac:dyDescent="0.3">
      <c r="A58" s="111"/>
      <c r="B58" s="48">
        <v>26</v>
      </c>
    </row>
    <row r="59" spans="1:2" x14ac:dyDescent="0.3">
      <c r="A59" s="111">
        <v>28</v>
      </c>
      <c r="B59" s="48">
        <v>28</v>
      </c>
    </row>
    <row r="60" spans="1:2" x14ac:dyDescent="0.3">
      <c r="A60" s="111"/>
      <c r="B60" s="48">
        <v>30</v>
      </c>
    </row>
    <row r="61" spans="1:2" x14ac:dyDescent="0.3">
      <c r="A61" s="111">
        <v>32</v>
      </c>
      <c r="B61" s="48">
        <v>32</v>
      </c>
    </row>
    <row r="62" spans="1:2" x14ac:dyDescent="0.3">
      <c r="A62" s="111"/>
      <c r="B62" s="48">
        <v>34</v>
      </c>
    </row>
    <row r="63" spans="1:2" x14ac:dyDescent="0.3">
      <c r="A63" s="111">
        <v>36</v>
      </c>
      <c r="B63" s="48">
        <v>36</v>
      </c>
    </row>
    <row r="64" spans="1:2" x14ac:dyDescent="0.3">
      <c r="A64" s="111"/>
      <c r="B64" s="48">
        <v>38</v>
      </c>
    </row>
    <row r="65" spans="1:2" x14ac:dyDescent="0.3">
      <c r="A65" s="111">
        <v>40</v>
      </c>
      <c r="B65" s="48">
        <v>40</v>
      </c>
    </row>
    <row r="66" spans="1:2" x14ac:dyDescent="0.3">
      <c r="A66" s="111"/>
      <c r="B66" s="48">
        <v>42</v>
      </c>
    </row>
    <row r="67" spans="1:2" x14ac:dyDescent="0.3">
      <c r="A67" s="111">
        <v>45</v>
      </c>
      <c r="B67" s="48">
        <v>45</v>
      </c>
    </row>
    <row r="68" spans="1:2" x14ac:dyDescent="0.3">
      <c r="A68" s="111"/>
      <c r="B68" s="48">
        <v>48</v>
      </c>
    </row>
    <row r="69" spans="1:2" x14ac:dyDescent="0.3">
      <c r="A69" s="111">
        <v>50</v>
      </c>
      <c r="B69" s="48">
        <v>50</v>
      </c>
    </row>
    <row r="70" spans="1:2" x14ac:dyDescent="0.3">
      <c r="A70" s="111"/>
      <c r="B70" s="48">
        <v>53</v>
      </c>
    </row>
    <row r="71" spans="1:2" x14ac:dyDescent="0.3">
      <c r="A71" s="111">
        <v>56</v>
      </c>
      <c r="B71" s="48">
        <v>56</v>
      </c>
    </row>
    <row r="72" spans="1:2" x14ac:dyDescent="0.3">
      <c r="A72" s="111"/>
      <c r="B72" s="48">
        <v>60</v>
      </c>
    </row>
    <row r="73" spans="1:2" x14ac:dyDescent="0.3">
      <c r="A73" s="111">
        <v>63</v>
      </c>
      <c r="B73" s="48">
        <v>63</v>
      </c>
    </row>
    <row r="74" spans="1:2" x14ac:dyDescent="0.3">
      <c r="A74" s="111"/>
      <c r="B74" s="48">
        <v>67</v>
      </c>
    </row>
    <row r="75" spans="1:2" x14ac:dyDescent="0.3">
      <c r="A75" s="111">
        <v>71</v>
      </c>
      <c r="B75" s="48">
        <v>71</v>
      </c>
    </row>
    <row r="76" spans="1:2" x14ac:dyDescent="0.3">
      <c r="A76" s="111"/>
      <c r="B76" s="48">
        <v>75</v>
      </c>
    </row>
    <row r="77" spans="1:2" x14ac:dyDescent="0.3">
      <c r="A77" s="111">
        <v>80</v>
      </c>
      <c r="B77" s="48">
        <v>80</v>
      </c>
    </row>
    <row r="78" spans="1:2" x14ac:dyDescent="0.3">
      <c r="A78" s="111"/>
      <c r="B78" s="48">
        <v>85</v>
      </c>
    </row>
    <row r="79" spans="1:2" x14ac:dyDescent="0.3">
      <c r="A79" s="111">
        <v>90</v>
      </c>
      <c r="B79" s="48">
        <v>90</v>
      </c>
    </row>
    <row r="80" spans="1:2" x14ac:dyDescent="0.3">
      <c r="A80" s="111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Электродвигатель</vt:lpstr>
      <vt:lpstr>Передача</vt:lpstr>
      <vt:lpstr>Вал</vt:lpstr>
      <vt:lpstr>Установка</vt:lpstr>
      <vt:lpstr>Подшипники</vt:lpstr>
      <vt:lpstr>Колесо</vt:lpstr>
      <vt:lpstr>Вал-шестерня</vt:lpstr>
      <vt:lpstr>Корпус</vt:lpstr>
      <vt:lpstr>Ra40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2026-02-23T09:11:28Z</dcterms:modified>
</cp:coreProperties>
</file>